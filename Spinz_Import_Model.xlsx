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claude\spinz website\"/>
    </mc:Choice>
  </mc:AlternateContent>
  <xr:revisionPtr revIDLastSave="0" documentId="13_ncr:1_{90B5F9AD-78E9-43AD-B0E8-53A79E4C7C0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מודל תמחור (20 מול 40 פיט)" sheetId="1" r:id="rId1"/>
    <sheet name="סימולטור משחק (דמו)" sheetId="2" r:id="rId2"/>
    <sheet name="תזרים והוצאות בפוע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8" i="3" s="1"/>
  <c r="B27" i="2"/>
  <c r="B12" i="2"/>
  <c r="B11" i="2"/>
  <c r="C15" i="1"/>
  <c r="C14" i="1"/>
  <c r="C16" i="1" s="1"/>
  <c r="B14" i="1"/>
  <c r="B15" i="1" s="1"/>
  <c r="C13" i="1"/>
  <c r="B13" i="1"/>
  <c r="B13" i="2" l="1"/>
  <c r="C20" i="2" s="1"/>
  <c r="C17" i="1"/>
  <c r="C18" i="1" s="1"/>
  <c r="C25" i="2"/>
  <c r="C24" i="2"/>
  <c r="C21" i="2"/>
  <c r="B16" i="1"/>
  <c r="C23" i="2" l="1"/>
  <c r="C19" i="2"/>
  <c r="D19" i="2" s="1"/>
  <c r="C22" i="2"/>
  <c r="B14" i="2"/>
  <c r="C27" i="2"/>
  <c r="E27" i="2" s="1"/>
  <c r="C26" i="2"/>
  <c r="E26" i="2" s="1"/>
  <c r="E23" i="2"/>
  <c r="D23" i="2"/>
  <c r="E25" i="2"/>
  <c r="D25" i="2"/>
  <c r="B17" i="1"/>
  <c r="B18" i="1"/>
  <c r="E22" i="2"/>
  <c r="D22" i="2"/>
  <c r="D20" i="2"/>
  <c r="E20" i="2"/>
  <c r="E21" i="2"/>
  <c r="D21" i="2"/>
  <c r="E24" i="2"/>
  <c r="D24" i="2"/>
  <c r="D26" i="2" l="1"/>
  <c r="D27" i="2"/>
  <c r="E19" i="2"/>
</calcChain>
</file>

<file path=xl/sharedStrings.xml><?xml version="1.0" encoding="utf-8"?>
<sst xmlns="http://schemas.openxmlformats.org/spreadsheetml/2006/main" count="103" uniqueCount="80">
  <si>
    <t>SPINZ — מודל תמחור ייבוא</t>
  </si>
  <si>
    <t>פרמטרים</t>
  </si>
  <si>
    <t>שער הגנה (Buffer Rate) ₪/$</t>
  </si>
  <si>
    <t>שמרני — לתכנון קדימה בלבד</t>
  </si>
  <si>
    <t>מע"מ</t>
  </si>
  <si>
    <t>17% — מוחזר ~60 יום</t>
  </si>
  <si>
    <t>בצ"מ (בלתי צפוי)</t>
  </si>
  <si>
    <t>כרית ביטחון 5%</t>
  </si>
  <si>
    <t>פירוט עלות ליחידה</t>
  </si>
  <si>
    <t>סעיף</t>
  </si>
  <si>
    <t>מכולה 20 פיט (170 יח')</t>
  </si>
  <si>
    <t>מכולה 40 פיט (330 יח')</t>
  </si>
  <si>
    <t>הערות</t>
  </si>
  <si>
    <t>מחיר מוצר (FOB) $</t>
  </si>
  <si>
    <t>עד נמל סין</t>
  </si>
  <si>
    <t>שילוח ימי $</t>
  </si>
  <si>
    <t>חלק יחסי מעלות המכולה</t>
  </si>
  <si>
    <t>לוגיסטיקה יבשתית $ (worst case)</t>
  </si>
  <si>
    <t>עמיל מכס + דמי נמל + ביטוח + שילוח פנים</t>
  </si>
  <si>
    <t>סך עלות בדולרים $</t>
  </si>
  <si>
    <t>סך עלות בשקלים (× שער הגנה)</t>
  </si>
  <si>
    <t>תוספת בצ"מ 5%</t>
  </si>
  <si>
    <t>עלות נחיתה לפני מע"מ ₪</t>
  </si>
  <si>
    <t>הבסיס לחישוב רווחיות</t>
  </si>
  <si>
    <t>מע"מ 17% ₪  — cash flow בלבד</t>
  </si>
  <si>
    <t>מוחזר ~60 יום — אינו עלות</t>
  </si>
  <si>
    <t>עלות כוללת מהכיס ₪ (כולל מע"מ)</t>
  </si>
  <si>
    <t>SPINZ — סימולטור כדאיות &amp; Break-even</t>
  </si>
  <si>
    <t>קלטים</t>
  </si>
  <si>
    <t>פרמטר</t>
  </si>
  <si>
    <t>ערך</t>
  </si>
  <si>
    <t>הערה</t>
  </si>
  <si>
    <t>בחירת מכולה (הקלד 20 או 40)</t>
  </si>
  <si>
    <t>20 = מכולת 20 פיט (170 יח') | 40 = מכולת 40 פיט (330 יח')</t>
  </si>
  <si>
    <t>שער חליפין (חי / לבדיקה) ₪/$</t>
  </si>
  <si>
    <t>שחק עם השער — לא משפיע על גיליון 1</t>
  </si>
  <si>
    <t>מחיר יחידה לצרכן (כולל מע"מ) ₪</t>
  </si>
  <si>
    <t>המחיר שתציג ללקוח</t>
  </si>
  <si>
    <t>עלות שיווק ליחידה (CPA) ₪</t>
  </si>
  <si>
    <t>פרסום + עמלות + קידום</t>
  </si>
  <si>
    <t>תוצאות</t>
  </si>
  <si>
    <t>עלות נחיתה לפני מע"מ ₪ (לפי שער הסימולטור)</t>
  </si>
  <si>
    <t>בסיס לחישוב רווח — מע"מ מוחזר ואינו עלות אמיתית</t>
  </si>
  <si>
    <t>מחיר לצרכן ללא מע"מ ₪</t>
  </si>
  <si>
    <t>רווח גולמי ₪</t>
  </si>
  <si>
    <t>אחוז רווחיות (Margin)</t>
  </si>
  <si>
    <t>מעל 30% טוב | מעל 40% מצוין</t>
  </si>
  <si>
    <t>Break-even — כמה זמן לאחזיר כל הוצאה?</t>
  </si>
  <si>
    <t>הרווח ליחידה נמשך אוטומטית מהתוצאות למעלה. הזן סכום ₪ בעמודה B — שאר העמודות מחושבות.</t>
  </si>
  <si>
    <t>הוצאה</t>
  </si>
  <si>
    <t>סכום ₪</t>
  </si>
  <si>
    <t>יחידות לכיסוי</t>
  </si>
  <si>
    <t>מנות 20 פיט</t>
  </si>
  <si>
    <t>מנות 40 פיט</t>
  </si>
  <si>
    <t>טיסות לסין</t>
  </si>
  <si>
    <t>בדיקות תקן / אישורים</t>
  </si>
  <si>
    <t>צילומים ותוכן</t>
  </si>
  <si>
    <t>בניית עמוד / אתר</t>
  </si>
  <si>
    <t>משפיענים (launch)</t>
  </si>
  <si>
    <t>קמפיין אינסטגרם</t>
  </si>
  <si>
    <t>הוצאה נוספת</t>
  </si>
  <si>
    <t>סה"כ השקעה ראשונית</t>
  </si>
  <si>
    <t>SPINZ — תזרים תשלומים בפועל (היסטורי)</t>
  </si>
  <si>
    <t>גיליון היסטורי — שער ההמרה מוקלד ידנית. אין עדכון אוטומטי.</t>
  </si>
  <si>
    <t>תאריך</t>
  </si>
  <si>
    <t>תיאור העסקה</t>
  </si>
  <si>
    <t>סכום מט"ח (USD)</t>
  </si>
  <si>
    <t>שער המרה בפועל</t>
  </si>
  <si>
    <t>סכום בשקלים ₪</t>
  </si>
  <si>
    <t>2025-04-10</t>
  </si>
  <si>
    <t>מקדמה 30% לספק בסין</t>
  </si>
  <si>
    <t>2025-05-01</t>
  </si>
  <si>
    <t>תשלום יתרה 70% לספק</t>
  </si>
  <si>
    <t>2025-05-20</t>
  </si>
  <si>
    <t>תשלום שילוח ימי — מכולה 20 פיט</t>
  </si>
  <si>
    <t>2025-06-05</t>
  </si>
  <si>
    <t>תשלום לוגיסטיקה (עמיל + נמל)</t>
  </si>
  <si>
    <t>סה"כ תשלומים בפועל</t>
  </si>
  <si>
    <t>בדיקה</t>
  </si>
  <si>
    <t>בדיקהה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</si>
</sst>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₪0.00"/>
    <numFmt numFmtId="165" formatCode="0.0%"/>
    <numFmt numFmtId="166" formatCode="&quot;$&quot;#,##0.00"/>
    <numFmt numFmtId="167" formatCode="\₪#,##0"/>
    <numFmt numFmtId="168" formatCode="#,##0.0"/>
    <numFmt numFmtId="169" formatCode="0.000"/>
  </numFmts>
  <fonts count="11" x14ac:knownFonts="1">
    <font>
      <sz val="11"/>
      <color theme="1"/>
      <name val="Arial"/>
      <family val="2"/>
      <scheme val="minor"/>
    </font>
    <font>
      <b/>
      <sz val="14"/>
      <color rgb="FFFFFFFF"/>
      <name val="Calibri"/>
    </font>
    <font>
      <b/>
      <sz val="10"/>
      <color rgb="FFC9A870"/>
      <name val="Calibri"/>
    </font>
    <font>
      <b/>
      <sz val="11"/>
      <color rgb="FF1A1A1A"/>
      <name val="Calibri"/>
    </font>
    <font>
      <b/>
      <sz val="11"/>
      <color rgb="FFC9A870"/>
      <name val="Calibri"/>
    </font>
    <font>
      <i/>
      <sz val="9"/>
      <color rgb="FF888888"/>
      <name val="Calibri"/>
    </font>
    <font>
      <b/>
      <sz val="11"/>
      <color rgb="FFFFFFFF"/>
      <name val="Calibri"/>
    </font>
    <font>
      <sz val="11"/>
      <color rgb="FF1A1A1A"/>
      <name val="Calibri"/>
    </font>
    <font>
      <i/>
      <sz val="11"/>
      <color rgb="FF1A1A1A"/>
      <name val="Calibri"/>
    </font>
    <font>
      <i/>
      <sz val="9"/>
      <color rgb="FFC0392B"/>
      <name val="Calibri"/>
    </font>
    <font>
      <sz val="11"/>
      <color rgb="FF55555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DE7"/>
      </patternFill>
    </fill>
    <fill>
      <patternFill patternType="solid">
        <fgColor rgb="FF2C2C2C"/>
      </patternFill>
    </fill>
    <fill>
      <patternFill patternType="solid">
        <fgColor rgb="FFF5F2EC"/>
      </patternFill>
    </fill>
    <fill>
      <patternFill patternType="solid">
        <fgColor rgb="FFFFF8EE"/>
      </patternFill>
    </fill>
    <fill>
      <patternFill patternType="solid">
        <fgColor rgb="FFE8F7EB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right" vertical="center" readingOrder="2"/>
    </xf>
    <xf numFmtId="164" fontId="4" fillId="3" borderId="0" xfId="0" applyNumberFormat="1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65" fontId="4" fillId="3" borderId="0" xfId="0" applyNumberFormat="1" applyFont="1" applyFill="1" applyAlignment="1">
      <alignment horizontal="right" vertical="center" readingOrder="2"/>
    </xf>
    <xf numFmtId="0" fontId="6" fillId="4" borderId="0" xfId="0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6" fontId="0" fillId="0" borderId="0" xfId="0" applyNumberFormat="1" applyAlignment="1">
      <alignment horizontal="right" vertical="center" readingOrder="2"/>
    </xf>
    <xf numFmtId="0" fontId="5" fillId="0" borderId="0" xfId="0" applyFont="1" applyAlignment="1">
      <alignment horizontal="right" vertical="center" wrapText="1" readingOrder="2"/>
    </xf>
    <xf numFmtId="0" fontId="3" fillId="5" borderId="0" xfId="0" applyFont="1" applyFill="1" applyAlignment="1">
      <alignment horizontal="right" vertical="center" readingOrder="2"/>
    </xf>
    <xf numFmtId="166" fontId="3" fillId="5" borderId="0" xfId="0" applyNumberFormat="1" applyFont="1" applyFill="1" applyAlignment="1">
      <alignment horizontal="right" vertical="center" readingOrder="2"/>
    </xf>
    <xf numFmtId="167" fontId="7" fillId="0" borderId="0" xfId="0" applyNumberFormat="1" applyFont="1" applyAlignment="1">
      <alignment horizontal="right" vertical="center" readingOrder="2"/>
    </xf>
    <xf numFmtId="167" fontId="3" fillId="5" borderId="0" xfId="0" applyNumberFormat="1" applyFont="1" applyFill="1" applyAlignment="1">
      <alignment horizontal="right" vertical="center" readingOrder="2"/>
    </xf>
    <xf numFmtId="0" fontId="8" fillId="6" borderId="0" xfId="0" applyFont="1" applyFill="1" applyAlignment="1">
      <alignment horizontal="right" vertical="center" readingOrder="2"/>
    </xf>
    <xf numFmtId="167" fontId="7" fillId="6" borderId="0" xfId="0" applyNumberFormat="1" applyFont="1" applyFill="1" applyAlignment="1">
      <alignment horizontal="right" vertical="center" readingOrder="2"/>
    </xf>
    <xf numFmtId="0" fontId="6" fillId="2" borderId="0" xfId="0" applyFont="1" applyFill="1" applyAlignment="1">
      <alignment horizontal="right" vertical="center" readingOrder="2"/>
    </xf>
    <xf numFmtId="167" fontId="6" fillId="2" borderId="0" xfId="0" applyNumberFormat="1" applyFont="1" applyFill="1" applyAlignment="1">
      <alignment horizontal="right" vertical="center" readingOrder="2"/>
    </xf>
    <xf numFmtId="3" fontId="4" fillId="3" borderId="0" xfId="0" applyNumberFormat="1" applyFont="1" applyFill="1" applyAlignment="1">
      <alignment horizontal="right" vertical="center" readingOrder="2"/>
    </xf>
    <xf numFmtId="167" fontId="4" fillId="3" borderId="0" xfId="0" applyNumberFormat="1" applyFont="1" applyFill="1" applyAlignment="1">
      <alignment horizontal="right" vertical="center" readingOrder="2"/>
    </xf>
    <xf numFmtId="0" fontId="3" fillId="7" borderId="0" xfId="0" applyFont="1" applyFill="1" applyAlignment="1">
      <alignment horizontal="right" vertical="center" readingOrder="2"/>
    </xf>
    <xf numFmtId="167" fontId="3" fillId="7" borderId="0" xfId="0" applyNumberFormat="1" applyFont="1" applyFill="1" applyAlignment="1">
      <alignment horizontal="right" vertical="center" readingOrder="2"/>
    </xf>
    <xf numFmtId="165" fontId="3" fillId="7" borderId="0" xfId="0" applyNumberFormat="1" applyFont="1" applyFill="1" applyAlignment="1">
      <alignment horizontal="right" vertical="center" readingOrder="2"/>
    </xf>
    <xf numFmtId="0" fontId="7" fillId="5" borderId="0" xfId="0" applyFont="1" applyFill="1" applyAlignment="1">
      <alignment horizontal="right" vertical="center" readingOrder="2"/>
    </xf>
    <xf numFmtId="3" fontId="3" fillId="5" borderId="0" xfId="0" applyNumberFormat="1" applyFont="1" applyFill="1" applyAlignment="1">
      <alignment horizontal="right" vertical="center" readingOrder="2"/>
    </xf>
    <xf numFmtId="168" fontId="7" fillId="5" borderId="0" xfId="0" applyNumberFormat="1" applyFont="1" applyFill="1" applyAlignment="1">
      <alignment horizontal="right" vertical="center" readingOrder="2"/>
    </xf>
    <xf numFmtId="3" fontId="3" fillId="0" borderId="0" xfId="0" applyNumberFormat="1" applyFont="1" applyAlignment="1">
      <alignment horizontal="right" vertical="center" readingOrder="2"/>
    </xf>
    <xf numFmtId="168" fontId="7" fillId="0" borderId="0" xfId="0" applyNumberFormat="1" applyFont="1" applyAlignment="1">
      <alignment horizontal="right" vertical="center" readingOrder="2"/>
    </xf>
    <xf numFmtId="3" fontId="6" fillId="2" borderId="0" xfId="0" applyNumberFormat="1" applyFont="1" applyFill="1" applyAlignment="1">
      <alignment horizontal="right" vertical="center" readingOrder="2"/>
    </xf>
    <xf numFmtId="168" fontId="6" fillId="2" borderId="0" xfId="0" applyNumberFormat="1" applyFont="1" applyFill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0" fillId="0" borderId="0" xfId="0" applyAlignment="1">
      <alignment horizontal="right" vertical="center" readingOrder="2"/>
    </xf>
    <xf numFmtId="169" fontId="0" fillId="3" borderId="0" xfId="0" applyNumberFormat="1" applyFill="1" applyAlignment="1">
      <alignment horizontal="right" vertical="center" readingOrder="2"/>
    </xf>
    <xf numFmtId="167" fontId="0" fillId="0" borderId="0" xfId="0" applyNumberFormat="1" applyAlignment="1">
      <alignment horizontal="right" vertical="center" readingOrder="2"/>
    </xf>
    <xf numFmtId="0" fontId="1" fillId="2" borderId="0" xfId="0" applyFont="1" applyFill="1" applyAlignment="1">
      <alignment horizontal="right" vertical="center" readingOrder="2"/>
    </xf>
    <xf numFmtId="0" fontId="0" fillId="0" borderId="0" xfId="0"/>
    <xf numFmtId="0" fontId="2" fillId="2" borderId="0" xfId="0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wrapText="1" readingOrder="2"/>
    </xf>
    <xf numFmtId="0" fontId="9" fillId="8" borderId="0" xfId="0" applyFont="1" applyFill="1" applyAlignment="1">
      <alignment horizontal="right" vertical="center" readingOrder="2"/>
    </xf>
    <xf numFmtId="0" fontId="6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rightToLeft="1" workbookViewId="0">
      <selection activeCell="B6" sqref="B6"/>
    </sheetView>
  </sheetViews>
  <sheetFormatPr defaultRowHeight="14" x14ac:dyDescent="0.3"/>
  <cols>
    <col min="1" max="1" width="38" customWidth="1"/>
    <col min="2" max="3" width="22" customWidth="1"/>
    <col min="4" max="4" width="32" customWidth="1"/>
  </cols>
  <sheetData>
    <row r="1" spans="1:4" ht="28" customHeight="1" x14ac:dyDescent="0.3">
      <c r="A1" s="33" t="s">
        <v>0</v>
      </c>
      <c r="B1" s="34"/>
      <c r="C1" s="34"/>
      <c r="D1" s="34"/>
    </row>
    <row r="2" spans="1:4" ht="6" customHeight="1" x14ac:dyDescent="0.3"/>
    <row r="3" spans="1:4" ht="20" customHeight="1" x14ac:dyDescent="0.3">
      <c r="A3" s="35" t="s">
        <v>1</v>
      </c>
      <c r="B3" s="34"/>
      <c r="C3" s="34"/>
      <c r="D3" s="34"/>
    </row>
    <row r="4" spans="1:4" ht="18" customHeight="1" x14ac:dyDescent="0.3">
      <c r="A4" s="1" t="s">
        <v>2</v>
      </c>
      <c r="B4" s="2">
        <v>3.15</v>
      </c>
      <c r="D4" s="3" t="s">
        <v>3</v>
      </c>
    </row>
    <row r="5" spans="1:4" ht="18" customHeight="1" x14ac:dyDescent="0.3">
      <c r="A5" s="1" t="s">
        <v>4</v>
      </c>
      <c r="B5" s="4">
        <v>0.18</v>
      </c>
      <c r="D5" s="3" t="s">
        <v>5</v>
      </c>
    </row>
    <row r="6" spans="1:4" ht="18" customHeight="1" x14ac:dyDescent="0.3">
      <c r="A6" s="1" t="s">
        <v>6</v>
      </c>
      <c r="B6" s="4">
        <v>0.05</v>
      </c>
      <c r="D6" s="3" t="s">
        <v>7</v>
      </c>
    </row>
    <row r="7" spans="1:4" ht="6" customHeight="1" x14ac:dyDescent="0.3"/>
    <row r="8" spans="1:4" ht="20" customHeight="1" x14ac:dyDescent="0.3">
      <c r="A8" s="35" t="s">
        <v>8</v>
      </c>
      <c r="B8" s="34"/>
      <c r="C8" s="34"/>
      <c r="D8" s="34"/>
    </row>
    <row r="9" spans="1:4" ht="20" customHeight="1" x14ac:dyDescent="0.3">
      <c r="A9" s="5" t="s">
        <v>9</v>
      </c>
      <c r="B9" s="5" t="s">
        <v>10</v>
      </c>
      <c r="C9" s="5" t="s">
        <v>11</v>
      </c>
      <c r="D9" s="5" t="s">
        <v>12</v>
      </c>
    </row>
    <row r="10" spans="1:4" ht="18" customHeight="1" x14ac:dyDescent="0.3">
      <c r="A10" s="6" t="s">
        <v>13</v>
      </c>
      <c r="B10" s="7">
        <v>93.8</v>
      </c>
      <c r="C10" s="7">
        <v>93.8</v>
      </c>
      <c r="D10" s="8" t="s">
        <v>14</v>
      </c>
    </row>
    <row r="11" spans="1:4" ht="18" customHeight="1" x14ac:dyDescent="0.3">
      <c r="A11" s="6" t="s">
        <v>15</v>
      </c>
      <c r="B11" s="7">
        <v>16.059999999999999</v>
      </c>
      <c r="C11" s="7">
        <v>11.5</v>
      </c>
      <c r="D11" s="8" t="s">
        <v>16</v>
      </c>
    </row>
    <row r="12" spans="1:4" ht="18" customHeight="1" x14ac:dyDescent="0.3">
      <c r="A12" s="6" t="s">
        <v>17</v>
      </c>
      <c r="B12" s="7">
        <v>12</v>
      </c>
      <c r="C12" s="7">
        <v>12</v>
      </c>
      <c r="D12" s="8" t="s">
        <v>18</v>
      </c>
    </row>
    <row r="13" spans="1:4" ht="20" customHeight="1" x14ac:dyDescent="0.3">
      <c r="A13" s="9" t="s">
        <v>19</v>
      </c>
      <c r="B13" s="10">
        <f>B10+B11+B12</f>
        <v>121.86</v>
      </c>
      <c r="C13" s="10">
        <f>C10+C11+C12</f>
        <v>117.3</v>
      </c>
    </row>
    <row r="14" spans="1:4" ht="18" customHeight="1" x14ac:dyDescent="0.3">
      <c r="A14" s="6" t="s">
        <v>20</v>
      </c>
      <c r="B14" s="11">
        <f>B13*$B$4</f>
        <v>383.85899999999998</v>
      </c>
      <c r="C14" s="11">
        <f>C13*$B$4</f>
        <v>369.495</v>
      </c>
    </row>
    <row r="15" spans="1:4" ht="18" customHeight="1" x14ac:dyDescent="0.3">
      <c r="A15" s="6" t="s">
        <v>21</v>
      </c>
      <c r="B15" s="11">
        <f>B14*$B$6</f>
        <v>19.19295</v>
      </c>
      <c r="C15" s="11">
        <f>C14*$B$6</f>
        <v>18.47475</v>
      </c>
    </row>
    <row r="16" spans="1:4" ht="20" customHeight="1" x14ac:dyDescent="0.3">
      <c r="A16" s="9" t="s">
        <v>22</v>
      </c>
      <c r="B16" s="12">
        <f>B14+B15</f>
        <v>403.05194999999998</v>
      </c>
      <c r="C16" s="12">
        <f>C14+C15</f>
        <v>387.96974999999998</v>
      </c>
      <c r="D16" s="3" t="s">
        <v>23</v>
      </c>
    </row>
    <row r="17" spans="1:4" ht="18" customHeight="1" x14ac:dyDescent="0.3">
      <c r="A17" s="13" t="s">
        <v>24</v>
      </c>
      <c r="B17" s="14">
        <f>B16*$B$5</f>
        <v>72.549350999999987</v>
      </c>
      <c r="C17" s="14">
        <f>C16*$B$5</f>
        <v>69.834554999999995</v>
      </c>
      <c r="D17" s="3" t="s">
        <v>25</v>
      </c>
    </row>
    <row r="18" spans="1:4" ht="20" customHeight="1" x14ac:dyDescent="0.3">
      <c r="A18" s="15" t="s">
        <v>26</v>
      </c>
      <c r="B18" s="16">
        <f>B16+B17</f>
        <v>475.60130099999998</v>
      </c>
      <c r="C18" s="16">
        <f>C16+C17</f>
        <v>457.804305</v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rightToLeft="1" topLeftCell="A14" workbookViewId="0">
      <selection activeCell="A17" sqref="A17:E17"/>
    </sheetView>
  </sheetViews>
  <sheetFormatPr defaultRowHeight="14" x14ac:dyDescent="0.3"/>
  <cols>
    <col min="1" max="1" width="36" customWidth="1"/>
    <col min="2" max="4" width="20" customWidth="1"/>
    <col min="5" max="5" width="18" customWidth="1"/>
  </cols>
  <sheetData>
    <row r="1" spans="1:5" ht="28" customHeight="1" x14ac:dyDescent="0.3">
      <c r="A1" s="33" t="s">
        <v>27</v>
      </c>
      <c r="B1" s="34"/>
      <c r="C1" s="34"/>
      <c r="D1" s="34"/>
      <c r="E1" s="34"/>
    </row>
    <row r="2" spans="1:5" ht="6" customHeight="1" x14ac:dyDescent="0.3"/>
    <row r="3" spans="1:5" ht="20" customHeight="1" x14ac:dyDescent="0.3">
      <c r="A3" s="35" t="s">
        <v>28</v>
      </c>
      <c r="B3" s="34"/>
      <c r="C3" s="34"/>
      <c r="D3" s="34"/>
      <c r="E3" s="34"/>
    </row>
    <row r="4" spans="1:5" ht="18" customHeight="1" x14ac:dyDescent="0.3">
      <c r="A4" s="5" t="s">
        <v>29</v>
      </c>
      <c r="B4" s="5" t="s">
        <v>30</v>
      </c>
      <c r="C4" s="5" t="s">
        <v>31</v>
      </c>
    </row>
    <row r="5" spans="1:5" ht="14.5" x14ac:dyDescent="0.3">
      <c r="A5" s="1" t="s">
        <v>32</v>
      </c>
      <c r="B5" s="17">
        <v>40</v>
      </c>
      <c r="C5" s="3" t="s">
        <v>33</v>
      </c>
    </row>
    <row r="6" spans="1:5" ht="14.5" x14ac:dyDescent="0.3">
      <c r="A6" s="1" t="s">
        <v>34</v>
      </c>
      <c r="B6" s="2">
        <v>3</v>
      </c>
      <c r="C6" s="3" t="s">
        <v>35</v>
      </c>
    </row>
    <row r="7" spans="1:5" ht="14.5" x14ac:dyDescent="0.3">
      <c r="A7" s="1" t="s">
        <v>36</v>
      </c>
      <c r="B7" s="18">
        <v>1199</v>
      </c>
      <c r="C7" s="3" t="s">
        <v>37</v>
      </c>
    </row>
    <row r="8" spans="1:5" ht="14.5" x14ac:dyDescent="0.3">
      <c r="A8" s="1" t="s">
        <v>38</v>
      </c>
      <c r="B8" s="18">
        <v>65</v>
      </c>
      <c r="C8" s="3" t="s">
        <v>39</v>
      </c>
    </row>
    <row r="9" spans="1:5" ht="6" customHeight="1" x14ac:dyDescent="0.3"/>
    <row r="10" spans="1:5" ht="20" customHeight="1" x14ac:dyDescent="0.3">
      <c r="A10" s="35" t="s">
        <v>40</v>
      </c>
      <c r="B10" s="34"/>
      <c r="C10" s="34"/>
      <c r="D10" s="34"/>
      <c r="E10" s="34"/>
    </row>
    <row r="11" spans="1:5" ht="20" customHeight="1" x14ac:dyDescent="0.3">
      <c r="A11" s="9" t="s">
        <v>41</v>
      </c>
      <c r="B11" s="12">
        <f>IF(B5=20,('מודל תמחור (20 מול 40 פיט)'!B10+'מודל תמחור (20 מול 40 פיט)'!B11+'מודל תמחור (20 מול 40 פיט)'!B12),('מודל תמחור (20 מול 40 פיט)'!C10+'מודל תמחור (20 מול 40 פיט)'!C11+'מודל תמחור (20 מול 40 פיט)'!C12))*B6*(1+'מודל תמחור (20 מול 40 פיט)'!B6)</f>
        <v>369.495</v>
      </c>
      <c r="C11" s="3" t="s">
        <v>42</v>
      </c>
    </row>
    <row r="12" spans="1:5" ht="18" customHeight="1" x14ac:dyDescent="0.3">
      <c r="A12" s="6" t="s">
        <v>43</v>
      </c>
      <c r="B12" s="11">
        <f>B7/1.17</f>
        <v>1024.7863247863249</v>
      </c>
    </row>
    <row r="13" spans="1:5" ht="20" customHeight="1" x14ac:dyDescent="0.3">
      <c r="A13" s="19" t="s">
        <v>44</v>
      </c>
      <c r="B13" s="20">
        <f>B12-B11-B8</f>
        <v>590.29132478632494</v>
      </c>
    </row>
    <row r="14" spans="1:5" ht="20" customHeight="1" x14ac:dyDescent="0.3">
      <c r="A14" s="19" t="s">
        <v>45</v>
      </c>
      <c r="B14" s="21">
        <f>IF(B12&gt;0,B13/B12,0)</f>
        <v>0.57601405337781486</v>
      </c>
      <c r="C14" s="3" t="s">
        <v>46</v>
      </c>
    </row>
    <row r="15" spans="1:5" ht="6" customHeight="1" x14ac:dyDescent="0.3"/>
    <row r="16" spans="1:5" ht="20" customHeight="1" x14ac:dyDescent="0.3">
      <c r="A16" s="35" t="s">
        <v>47</v>
      </c>
      <c r="B16" s="34"/>
      <c r="C16" s="34"/>
      <c r="D16" s="34"/>
      <c r="E16" s="34"/>
    </row>
    <row r="17" spans="1:5" ht="28" customHeight="1" x14ac:dyDescent="0.3">
      <c r="A17" s="36" t="s">
        <v>48</v>
      </c>
      <c r="B17" s="34"/>
      <c r="C17" s="34"/>
      <c r="D17" s="34"/>
      <c r="E17" s="34"/>
    </row>
    <row r="18" spans="1:5" ht="20" customHeight="1" x14ac:dyDescent="0.3">
      <c r="A18" s="5" t="s">
        <v>49</v>
      </c>
      <c r="B18" s="5" t="s">
        <v>50</v>
      </c>
      <c r="C18" s="5" t="s">
        <v>51</v>
      </c>
      <c r="D18" s="5" t="s">
        <v>52</v>
      </c>
      <c r="E18" s="5" t="s">
        <v>53</v>
      </c>
    </row>
    <row r="19" spans="1:5" ht="18" customHeight="1" x14ac:dyDescent="0.3">
      <c r="A19" s="22" t="s">
        <v>54</v>
      </c>
      <c r="B19" s="18">
        <v>0</v>
      </c>
      <c r="C19" s="23">
        <f>IF(B13&gt;0,CEILING(B19/B13,1),"—")</f>
        <v>0</v>
      </c>
      <c r="D19" s="24">
        <f t="shared" ref="D19:D27" si="0">IF(ISNUMBER(C19),CEILING(C19/170,0.1),"—")</f>
        <v>0</v>
      </c>
      <c r="E19" s="24">
        <f t="shared" ref="E19:E27" si="1">IF(ISNUMBER(C19),CEILING(C19/330,0.1),"—")</f>
        <v>0</v>
      </c>
    </row>
    <row r="20" spans="1:5" ht="18" customHeight="1" x14ac:dyDescent="0.3">
      <c r="A20" s="6" t="s">
        <v>55</v>
      </c>
      <c r="B20" s="18">
        <v>0</v>
      </c>
      <c r="C20" s="25">
        <f>IF(B13&gt;0,CEILING(B20/B13,1),"—")</f>
        <v>0</v>
      </c>
      <c r="D20" s="26">
        <f t="shared" si="0"/>
        <v>0</v>
      </c>
      <c r="E20" s="26">
        <f t="shared" si="1"/>
        <v>0</v>
      </c>
    </row>
    <row r="21" spans="1:5" ht="18" customHeight="1" x14ac:dyDescent="0.3">
      <c r="A21" s="22" t="s">
        <v>56</v>
      </c>
      <c r="B21" s="18">
        <v>0</v>
      </c>
      <c r="C21" s="23">
        <f>IF(B13&gt;0,CEILING(B21/B13,1),"—")</f>
        <v>0</v>
      </c>
      <c r="D21" s="24">
        <f t="shared" si="0"/>
        <v>0</v>
      </c>
      <c r="E21" s="24">
        <f t="shared" si="1"/>
        <v>0</v>
      </c>
    </row>
    <row r="22" spans="1:5" ht="18" customHeight="1" x14ac:dyDescent="0.3">
      <c r="A22" s="6" t="s">
        <v>57</v>
      </c>
      <c r="B22" s="18">
        <v>0</v>
      </c>
      <c r="C22" s="25">
        <f>IF(B13&gt;0,CEILING(B22/B13,1),"—")</f>
        <v>0</v>
      </c>
      <c r="D22" s="26">
        <f t="shared" si="0"/>
        <v>0</v>
      </c>
      <c r="E22" s="26">
        <f t="shared" si="1"/>
        <v>0</v>
      </c>
    </row>
    <row r="23" spans="1:5" ht="18" customHeight="1" x14ac:dyDescent="0.3">
      <c r="A23" s="22" t="s">
        <v>58</v>
      </c>
      <c r="B23" s="18">
        <v>0</v>
      </c>
      <c r="C23" s="23">
        <f>IF(B13&gt;0,CEILING(B23/B13,1),"—")</f>
        <v>0</v>
      </c>
      <c r="D23" s="24">
        <f t="shared" si="0"/>
        <v>0</v>
      </c>
      <c r="E23" s="24">
        <f t="shared" si="1"/>
        <v>0</v>
      </c>
    </row>
    <row r="24" spans="1:5" ht="18" customHeight="1" x14ac:dyDescent="0.3">
      <c r="A24" s="6" t="s">
        <v>59</v>
      </c>
      <c r="B24" s="18">
        <v>0</v>
      </c>
      <c r="C24" s="25">
        <f>IF(B13&gt;0,CEILING(B24/B13,1),"—")</f>
        <v>0</v>
      </c>
      <c r="D24" s="26">
        <f t="shared" si="0"/>
        <v>0</v>
      </c>
      <c r="E24" s="26">
        <f t="shared" si="1"/>
        <v>0</v>
      </c>
    </row>
    <row r="25" spans="1:5" ht="18" customHeight="1" x14ac:dyDescent="0.3">
      <c r="A25" s="22" t="s">
        <v>60</v>
      </c>
      <c r="B25" s="18">
        <v>0</v>
      </c>
      <c r="C25" s="23">
        <f>IF(B13&gt;0,CEILING(B25/B13,1),"—")</f>
        <v>0</v>
      </c>
      <c r="D25" s="24">
        <f t="shared" si="0"/>
        <v>0</v>
      </c>
      <c r="E25" s="24">
        <f t="shared" si="1"/>
        <v>0</v>
      </c>
    </row>
    <row r="26" spans="1:5" ht="18" customHeight="1" x14ac:dyDescent="0.3">
      <c r="A26" s="6" t="s">
        <v>60</v>
      </c>
      <c r="B26" s="18">
        <v>0</v>
      </c>
      <c r="C26" s="25">
        <f>IF(B13&gt;0,CEILING(B26/B13,1),"—")</f>
        <v>0</v>
      </c>
      <c r="D26" s="26">
        <f t="shared" si="0"/>
        <v>0</v>
      </c>
      <c r="E26" s="26">
        <f t="shared" si="1"/>
        <v>0</v>
      </c>
    </row>
    <row r="27" spans="1:5" ht="22" customHeight="1" x14ac:dyDescent="0.3">
      <c r="A27" s="15" t="s">
        <v>61</v>
      </c>
      <c r="B27" s="16">
        <f>SUM(B19:B26)</f>
        <v>0</v>
      </c>
      <c r="C27" s="27">
        <f>IF(B13&gt;0,CEILING(B27/B13,1),"—")</f>
        <v>0</v>
      </c>
      <c r="D27" s="28">
        <f t="shared" si="0"/>
        <v>0</v>
      </c>
      <c r="E27" s="28">
        <f t="shared" si="1"/>
        <v>0</v>
      </c>
    </row>
  </sheetData>
  <mergeCells count="5">
    <mergeCell ref="A16:E16"/>
    <mergeCell ref="A10:E10"/>
    <mergeCell ref="A1:E1"/>
    <mergeCell ref="A17:E17"/>
    <mergeCell ref="A3:E3"/>
  </mergeCells>
  <dataValidations count="1">
    <dataValidation type="whole" sqref="B5" xr:uid="{00000000-0002-0000-0100-000000000000}">
      <formula1>20</formula1>
      <formula2>40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rightToLeft="1" tabSelected="1" workbookViewId="0">
      <selection activeCell="F5" sqref="F5"/>
    </sheetView>
  </sheetViews>
  <sheetFormatPr defaultRowHeight="14" x14ac:dyDescent="0.3"/>
  <cols>
    <col min="1" max="1" width="14" customWidth="1"/>
    <col min="2" max="2" width="36" customWidth="1"/>
    <col min="3" max="3" width="18" customWidth="1"/>
    <col min="4" max="5" width="20" customWidth="1"/>
  </cols>
  <sheetData>
    <row r="1" spans="1:6" ht="28" customHeight="1" x14ac:dyDescent="0.3">
      <c r="A1" s="33" t="s">
        <v>62</v>
      </c>
      <c r="B1" s="34"/>
      <c r="C1" s="34"/>
      <c r="D1" s="34"/>
      <c r="E1" s="34"/>
    </row>
    <row r="2" spans="1:6" ht="16" customHeight="1" x14ac:dyDescent="0.3">
      <c r="A2" s="37" t="s">
        <v>63</v>
      </c>
      <c r="B2" s="34"/>
      <c r="C2" s="34"/>
      <c r="D2" s="34"/>
      <c r="E2" s="34"/>
    </row>
    <row r="3" spans="1:6" ht="20" customHeight="1" x14ac:dyDescent="0.3">
      <c r="A3" s="5" t="s">
        <v>64</v>
      </c>
      <c r="B3" s="5" t="s">
        <v>65</v>
      </c>
      <c r="C3" s="5" t="s">
        <v>66</v>
      </c>
      <c r="D3" s="5" t="s">
        <v>67</v>
      </c>
      <c r="E3" s="5" t="s">
        <v>68</v>
      </c>
    </row>
    <row r="4" spans="1:6" ht="14.5" x14ac:dyDescent="0.3">
      <c r="A4" s="29" t="s">
        <v>69</v>
      </c>
      <c r="B4" s="30" t="s">
        <v>70</v>
      </c>
      <c r="C4" s="7">
        <v>4793.3999999999996</v>
      </c>
      <c r="D4" s="31"/>
      <c r="E4" s="32" t="str">
        <f t="shared" ref="E4:E27" si="0">IF(D4="","",C4*D4)</f>
        <v/>
      </c>
      <c r="F4" t="s">
        <v>78</v>
      </c>
    </row>
    <row r="5" spans="1:6" ht="14.5" x14ac:dyDescent="0.3">
      <c r="A5" s="29" t="s">
        <v>71</v>
      </c>
      <c r="B5" s="30" t="s">
        <v>72</v>
      </c>
      <c r="C5" s="7">
        <v>11185.1</v>
      </c>
      <c r="D5" s="31"/>
      <c r="E5" s="32" t="str">
        <f t="shared" si="0"/>
        <v/>
      </c>
      <c r="F5" t="s">
        <v>78</v>
      </c>
    </row>
    <row r="6" spans="1:6" ht="14.5" x14ac:dyDescent="0.3">
      <c r="A6" s="29" t="s">
        <v>73</v>
      </c>
      <c r="B6" s="30" t="s">
        <v>74</v>
      </c>
      <c r="C6" s="7">
        <v>2730.2</v>
      </c>
      <c r="D6" s="31"/>
      <c r="E6" s="32" t="str">
        <f t="shared" si="0"/>
        <v/>
      </c>
      <c r="F6" t="s">
        <v>78</v>
      </c>
    </row>
    <row r="7" spans="1:6" ht="14.5" x14ac:dyDescent="0.3">
      <c r="A7" s="29" t="s">
        <v>75</v>
      </c>
      <c r="B7" s="30" t="s">
        <v>76</v>
      </c>
      <c r="C7" s="7">
        <v>2040</v>
      </c>
      <c r="D7" s="31"/>
      <c r="E7" s="32" t="str">
        <f t="shared" si="0"/>
        <v/>
      </c>
      <c r="F7" t="s">
        <v>78</v>
      </c>
    </row>
    <row r="8" spans="1:6" x14ac:dyDescent="0.3">
      <c r="A8" s="30"/>
      <c r="B8" s="30"/>
      <c r="C8" s="7"/>
      <c r="D8" s="31"/>
      <c r="E8" s="32" t="str">
        <f t="shared" si="0"/>
        <v/>
      </c>
    </row>
    <row r="9" spans="1:6" x14ac:dyDescent="0.3">
      <c r="A9" s="30"/>
      <c r="B9" s="30"/>
      <c r="C9" s="7"/>
      <c r="D9" s="31"/>
      <c r="E9" s="32" t="str">
        <f t="shared" si="0"/>
        <v/>
      </c>
    </row>
    <row r="10" spans="1:6" x14ac:dyDescent="0.3">
      <c r="A10" s="30"/>
      <c r="B10" s="30"/>
      <c r="C10" s="7"/>
      <c r="D10" s="31"/>
      <c r="E10" s="32" t="str">
        <f t="shared" si="0"/>
        <v/>
      </c>
    </row>
    <row r="11" spans="1:6" x14ac:dyDescent="0.3">
      <c r="A11" s="30"/>
      <c r="B11" s="30"/>
      <c r="C11" s="7"/>
      <c r="D11" s="31"/>
      <c r="E11" s="32" t="str">
        <f t="shared" si="0"/>
        <v/>
      </c>
    </row>
    <row r="12" spans="1:6" x14ac:dyDescent="0.3">
      <c r="A12" s="30"/>
      <c r="B12" s="30"/>
      <c r="C12" s="7"/>
      <c r="D12" s="31"/>
      <c r="E12" s="32" t="str">
        <f t="shared" si="0"/>
        <v/>
      </c>
    </row>
    <row r="13" spans="1:6" x14ac:dyDescent="0.3">
      <c r="A13" s="30"/>
      <c r="B13" s="30"/>
      <c r="C13" s="7"/>
      <c r="D13" s="31"/>
      <c r="E13" s="32" t="str">
        <f t="shared" si="0"/>
        <v/>
      </c>
    </row>
    <row r="14" spans="1:6" x14ac:dyDescent="0.3">
      <c r="A14" s="30"/>
      <c r="B14" s="30"/>
      <c r="C14" s="7"/>
      <c r="D14" s="31"/>
      <c r="E14" s="32" t="str">
        <f t="shared" si="0"/>
        <v/>
      </c>
    </row>
    <row r="15" spans="1:6" x14ac:dyDescent="0.3">
      <c r="A15" s="30"/>
      <c r="B15" s="30"/>
      <c r="C15" s="7"/>
      <c r="D15" s="31"/>
      <c r="E15" s="32" t="str">
        <f t="shared" si="0"/>
        <v/>
      </c>
    </row>
    <row r="16" spans="1:6" x14ac:dyDescent="0.3">
      <c r="A16" s="30"/>
      <c r="B16" s="30"/>
      <c r="C16" s="7"/>
      <c r="D16" s="31"/>
      <c r="E16" s="32" t="str">
        <f t="shared" si="0"/>
        <v/>
      </c>
    </row>
    <row r="17" spans="1:5" x14ac:dyDescent="0.3">
      <c r="A17" s="30"/>
      <c r="B17" s="30"/>
      <c r="C17" s="7"/>
      <c r="D17" s="31"/>
      <c r="E17" s="32" t="str">
        <f t="shared" si="0"/>
        <v/>
      </c>
    </row>
    <row r="18" spans="1:5" x14ac:dyDescent="0.3">
      <c r="A18" s="30"/>
      <c r="B18" s="30"/>
      <c r="C18" s="7"/>
      <c r="D18" s="31"/>
      <c r="E18" s="32" t="str">
        <f t="shared" si="0"/>
        <v/>
      </c>
    </row>
    <row r="19" spans="1:5" x14ac:dyDescent="0.3">
      <c r="A19" s="30"/>
      <c r="B19" s="30"/>
      <c r="C19" s="7"/>
      <c r="D19" s="31"/>
      <c r="E19" s="32" t="str">
        <f t="shared" si="0"/>
        <v/>
      </c>
    </row>
    <row r="20" spans="1:5" x14ac:dyDescent="0.3">
      <c r="A20" s="30"/>
      <c r="B20" s="30"/>
      <c r="C20" s="7"/>
      <c r="D20" s="31"/>
      <c r="E20" s="32" t="str">
        <f t="shared" si="0"/>
        <v/>
      </c>
    </row>
    <row r="21" spans="1:5" x14ac:dyDescent="0.3">
      <c r="A21" s="30"/>
      <c r="B21" s="30"/>
      <c r="C21" s="7"/>
      <c r="D21" s="31"/>
      <c r="E21" s="32" t="str">
        <f t="shared" si="0"/>
        <v/>
      </c>
    </row>
    <row r="22" spans="1:5" x14ac:dyDescent="0.3">
      <c r="A22" s="30"/>
      <c r="B22" s="30"/>
      <c r="C22" s="7"/>
      <c r="D22" s="31"/>
      <c r="E22" s="32" t="str">
        <f t="shared" si="0"/>
        <v/>
      </c>
    </row>
    <row r="23" spans="1:5" x14ac:dyDescent="0.3">
      <c r="A23" s="30"/>
      <c r="B23" s="30"/>
      <c r="C23" s="7"/>
      <c r="D23" s="31"/>
      <c r="E23" s="32" t="str">
        <f t="shared" si="0"/>
        <v/>
      </c>
    </row>
    <row r="24" spans="1:5" x14ac:dyDescent="0.3">
      <c r="A24" s="30"/>
      <c r="B24" s="30"/>
      <c r="C24" s="7"/>
      <c r="D24" s="31"/>
      <c r="E24" s="32" t="str">
        <f t="shared" si="0"/>
        <v/>
      </c>
    </row>
    <row r="25" spans="1:5" x14ac:dyDescent="0.3">
      <c r="A25" s="30"/>
      <c r="B25" s="30"/>
      <c r="C25" s="7"/>
      <c r="D25" s="31"/>
      <c r="E25" s="32" t="str">
        <f t="shared" si="0"/>
        <v/>
      </c>
    </row>
    <row r="26" spans="1:5" x14ac:dyDescent="0.3">
      <c r="A26" s="30"/>
      <c r="B26" s="30"/>
      <c r="C26" s="7"/>
      <c r="D26" s="31"/>
      <c r="E26" s="32" t="str">
        <f t="shared" si="0"/>
        <v/>
      </c>
    </row>
    <row r="27" spans="1:5" x14ac:dyDescent="0.3">
      <c r="A27" s="30"/>
      <c r="B27" s="30"/>
      <c r="C27" s="7"/>
      <c r="D27" s="31"/>
      <c r="E27" s="32" t="str">
        <f t="shared" si="0"/>
        <v/>
      </c>
    </row>
    <row r="28" spans="1:5" ht="22" customHeight="1" x14ac:dyDescent="0.3">
      <c r="A28" s="38" t="s">
        <v>77</v>
      </c>
      <c r="B28" s="34"/>
      <c r="C28" s="34"/>
      <c r="D28" s="34"/>
      <c r="E28" s="16">
        <f>SUM(E4:E27)</f>
        <v>0</v>
      </c>
    </row>
  </sheetData>
  <mergeCells count="3">
    <mergeCell ref="A2:E2"/>
    <mergeCell ref="A28:D2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מודל תמחור (20 מול 40 פיט)</vt:lpstr>
      <vt:lpstr>סימולטור משחק (דמו)</vt:lpstr>
      <vt:lpstr>תזרים והוצאות בפועל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Gal</cp:lastModifiedBy>
  <dcterms:created xsi:type="dcterms:W3CDTF">2026-04-18T02:20:07Z</dcterms:created>
  <dcterms:modified xsi:type="dcterms:W3CDTF">2026-04-21T17:26:05Z</dcterms:modified>
</cp:coreProperties>
</file>