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שוואת חברות" sheetId="1" state="visible" r:id="rId1"/>
    <sheet name="סימולטור עלות חודשית" sheetId="2" state="visible" r:id="rId2"/>
    <sheet name="שאלות לחברו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₪#,##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8888"/>
      <sz val="10"/>
    </font>
    <font>
      <name val="Calibri"/>
      <b val="1"/>
      <color rgb="00C9A870"/>
      <sz val="10"/>
    </font>
    <font>
      <name val="Calibri"/>
      <b val="1"/>
      <color rgb="00FFFFFF"/>
      <sz val="10"/>
    </font>
    <font>
      <name val="Calibri"/>
      <b val="1"/>
      <color rgb="001A1A1A"/>
      <sz val="11"/>
    </font>
    <font>
      <name val="Calibri"/>
      <b val="1"/>
      <color rgb="00C9A870"/>
      <sz val="14"/>
    </font>
    <font>
      <name val="Calibri"/>
      <i val="1"/>
      <color rgb="00888888"/>
      <sz val="11"/>
    </font>
    <font>
      <name val="Calibri"/>
      <b val="1"/>
      <color rgb="00C9A870"/>
      <sz val="11"/>
    </font>
    <font>
      <name val="Calibri"/>
      <b val="1"/>
      <color rgb="00FFFFFF"/>
      <sz val="11"/>
    </font>
    <font>
      <name val="Calibri"/>
      <b val="1"/>
      <color rgb="001A1A1A"/>
      <sz val="10"/>
    </font>
    <font>
      <name val="Calibri"/>
      <color rgb="001A1A1A"/>
      <sz val="11"/>
    </font>
  </fonts>
  <fills count="18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2C2C2C"/>
      </patternFill>
    </fill>
    <fill>
      <patternFill patternType="solid">
        <fgColor rgb="00FFFFFF"/>
      </patternFill>
    </fill>
    <fill>
      <patternFill patternType="solid">
        <fgColor rgb="00FFF8EE"/>
      </patternFill>
    </fill>
    <fill>
      <patternFill patternType="solid">
        <fgColor rgb="00EBF3FF"/>
      </patternFill>
    </fill>
    <fill>
      <patternFill patternType="solid">
        <fgColor rgb="00E8F7EB"/>
      </patternFill>
    </fill>
    <fill>
      <patternFill patternType="solid">
        <fgColor rgb="00F5F2EC"/>
      </patternFill>
    </fill>
    <fill>
      <patternFill patternType="solid">
        <fgColor rgb="00EDE7F6"/>
      </patternFill>
    </fill>
    <fill>
      <patternFill patternType="solid">
        <fgColor rgb="00F0EDE8"/>
      </patternFill>
    </fill>
    <fill>
      <patternFill patternType="solid">
        <fgColor rgb="00FFE8C0"/>
      </patternFill>
    </fill>
    <fill>
      <patternFill patternType="solid">
        <fgColor rgb="00D5E5F5"/>
      </patternFill>
    </fill>
    <fill>
      <patternFill patternType="solid">
        <fgColor rgb="00C8E0CC"/>
      </patternFill>
    </fill>
    <fill>
      <patternFill patternType="solid">
        <fgColor rgb="00E4E0D8"/>
      </patternFill>
    </fill>
    <fill>
      <patternFill patternType="solid">
        <fgColor rgb="00D9CFF0"/>
      </patternFill>
    </fill>
    <fill>
      <patternFill patternType="solid">
        <fgColor rgb="00FFFDE7"/>
      </patternFill>
    </fill>
    <fill>
      <patternFill patternType="solid">
        <fgColor rgb="00FFF0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right" vertical="center" readingOrder="2"/>
    </xf>
    <xf numFmtId="0" fontId="2" fillId="0" borderId="0" applyAlignment="1" pivotButton="0" quotePrefix="0" xfId="0">
      <alignment horizontal="right" vertical="center" readingOrder="2"/>
    </xf>
    <xf numFmtId="0" fontId="3" fillId="2" borderId="0" applyAlignment="1" pivotButton="0" quotePrefix="0" xfId="0">
      <alignment horizontal="center" vertical="center" readingOrder="2"/>
    </xf>
    <xf numFmtId="0" fontId="4" fillId="3" borderId="0" applyAlignment="1" pivotButton="0" quotePrefix="0" xfId="0">
      <alignment horizontal="right" vertical="center" wrapText="1" readingOrder="2"/>
    </xf>
    <xf numFmtId="0" fontId="5" fillId="4" borderId="0" applyAlignment="1" pivotButton="0" quotePrefix="0" xfId="0">
      <alignment horizontal="right" vertical="center" readingOrder="2"/>
    </xf>
    <xf numFmtId="0" fontId="0" fillId="5" borderId="0" applyAlignment="1" pivotButton="0" quotePrefix="0" xfId="0">
      <alignment horizontal="right" vertical="center" readingOrder="2"/>
    </xf>
    <xf numFmtId="0" fontId="0" fillId="6" borderId="0" applyAlignment="1" pivotButton="0" quotePrefix="0" xfId="0">
      <alignment horizontal="right" vertical="center" readingOrder="2"/>
    </xf>
    <xf numFmtId="0" fontId="0" fillId="7" borderId="0" applyAlignment="1" pivotButton="0" quotePrefix="0" xfId="0">
      <alignment horizontal="right" vertical="center" readingOrder="2"/>
    </xf>
    <xf numFmtId="0" fontId="0" fillId="8" borderId="0" applyAlignment="1" pivotButton="0" quotePrefix="0" xfId="0">
      <alignment horizontal="right" vertical="center" readingOrder="2"/>
    </xf>
    <xf numFmtId="0" fontId="0" fillId="9" borderId="0" applyAlignment="1" pivotButton="0" quotePrefix="0" xfId="0">
      <alignment horizontal="right" vertical="center" readingOrder="2"/>
    </xf>
    <xf numFmtId="0" fontId="5" fillId="10" borderId="0" applyAlignment="1" pivotButton="0" quotePrefix="0" xfId="0">
      <alignment horizontal="right" vertical="center" readingOrder="2"/>
    </xf>
    <xf numFmtId="0" fontId="0" fillId="11" borderId="0" applyAlignment="1" pivotButton="0" quotePrefix="0" xfId="0">
      <alignment horizontal="right" vertical="center" readingOrder="2"/>
    </xf>
    <xf numFmtId="0" fontId="0" fillId="12" borderId="0" applyAlignment="1" pivotButton="0" quotePrefix="0" xfId="0">
      <alignment horizontal="right" vertical="center" readingOrder="2"/>
    </xf>
    <xf numFmtId="0" fontId="0" fillId="13" borderId="0" applyAlignment="1" pivotButton="0" quotePrefix="0" xfId="0">
      <alignment horizontal="right" vertical="center" readingOrder="2"/>
    </xf>
    <xf numFmtId="0" fontId="0" fillId="14" borderId="0" applyAlignment="1" pivotButton="0" quotePrefix="0" xfId="0">
      <alignment horizontal="right" vertical="center" readingOrder="2"/>
    </xf>
    <xf numFmtId="0" fontId="0" fillId="15" borderId="0" applyAlignment="1" pivotButton="0" quotePrefix="0" xfId="0">
      <alignment horizontal="right" vertical="center" readingOrder="2"/>
    </xf>
    <xf numFmtId="0" fontId="3" fillId="2" borderId="0" applyAlignment="1" pivotButton="0" quotePrefix="0" xfId="0">
      <alignment horizontal="right" vertical="center" readingOrder="2"/>
    </xf>
    <xf numFmtId="0" fontId="5" fillId="0" borderId="0" applyAlignment="1" pivotButton="0" quotePrefix="0" xfId="0">
      <alignment horizontal="right" vertical="center" readingOrder="2"/>
    </xf>
    <xf numFmtId="3" fontId="6" fillId="16" borderId="0" applyAlignment="1" pivotButton="0" quotePrefix="0" xfId="0">
      <alignment horizontal="right" vertical="center" readingOrder="2"/>
    </xf>
    <xf numFmtId="0" fontId="7" fillId="0" borderId="0" applyAlignment="1" pivotButton="0" quotePrefix="0" xfId="0">
      <alignment horizontal="right" vertical="center" readingOrder="2"/>
    </xf>
    <xf numFmtId="0" fontId="4" fillId="3" borderId="0" applyAlignment="1" pivotButton="0" quotePrefix="0" xfId="0">
      <alignment horizontal="right" vertical="center" readingOrder="2"/>
    </xf>
    <xf numFmtId="0" fontId="5" fillId="8" borderId="0" applyAlignment="1" pivotButton="0" quotePrefix="0" xfId="0">
      <alignment horizontal="right" vertical="center" readingOrder="2"/>
    </xf>
    <xf numFmtId="164" fontId="0" fillId="17" borderId="0" applyAlignment="1" pivotButton="0" quotePrefix="0" xfId="0">
      <alignment horizontal="right" vertical="center" readingOrder="2"/>
    </xf>
    <xf numFmtId="164" fontId="5" fillId="8" borderId="0" applyAlignment="1" pivotButton="0" quotePrefix="0" xfId="0">
      <alignment horizontal="right" vertical="center" readingOrder="2"/>
    </xf>
    <xf numFmtId="164" fontId="8" fillId="8" borderId="0" applyAlignment="1" pivotButton="0" quotePrefix="0" xfId="0">
      <alignment horizontal="right" vertical="center" readingOrder="2"/>
    </xf>
    <xf numFmtId="164" fontId="0" fillId="16" borderId="0" applyAlignment="1" pivotButton="0" quotePrefix="0" xfId="0">
      <alignment horizontal="right" vertical="center" readingOrder="2"/>
    </xf>
    <xf numFmtId="164" fontId="5" fillId="0" borderId="0" applyAlignment="1" pivotButton="0" quotePrefix="0" xfId="0">
      <alignment horizontal="right" vertical="center" readingOrder="2"/>
    </xf>
    <xf numFmtId="164" fontId="8" fillId="5" borderId="0" applyAlignment="1" pivotButton="0" quotePrefix="0" xfId="0">
      <alignment horizontal="right" vertical="center" readingOrder="2"/>
    </xf>
    <xf numFmtId="0" fontId="9" fillId="2" borderId="0" applyAlignment="1" pivotButton="0" quotePrefix="0" xfId="0">
      <alignment horizontal="right" vertical="center" readingOrder="2"/>
    </xf>
    <xf numFmtId="164" fontId="8" fillId="2" borderId="0" applyAlignment="1" pivotButton="0" quotePrefix="0" xfId="0">
      <alignment horizontal="right" vertical="center" readingOrder="2"/>
    </xf>
    <xf numFmtId="0" fontId="10" fillId="5" borderId="0" applyAlignment="1" pivotButton="0" quotePrefix="0" xfId="0">
      <alignment horizontal="right" vertical="center" readingOrder="2"/>
    </xf>
    <xf numFmtId="0" fontId="11" fillId="0" borderId="0" applyAlignment="1" pivotButton="0" quotePrefix="0" xfId="0">
      <alignment horizontal="right" vertical="center" wrapText="1" readingOrder="2"/>
    </xf>
    <xf numFmtId="0" fontId="0" fillId="16" borderId="0" applyAlignment="1" pivotButton="0" quotePrefix="0" xfId="0">
      <alignment horizontal="right" vertical="center" wrapText="1" readingOrder="2"/>
    </xf>
    <xf numFmtId="0" fontId="10" fillId="6" borderId="0" applyAlignment="1" pivotButton="0" quotePrefix="0" xfId="0">
      <alignment horizontal="right" vertical="center" readingOrder="2"/>
    </xf>
    <xf numFmtId="0" fontId="10" fillId="7" borderId="0" applyAlignment="1" pivotButton="0" quotePrefix="0" xfId="0">
      <alignment horizontal="right" vertical="center" readingOrder="2"/>
    </xf>
    <xf numFmtId="0" fontId="10" fillId="16" borderId="0" applyAlignment="1" pivotButton="0" quotePrefix="0" xfId="0">
      <alignment horizontal="right" vertical="center" readingOrder="2"/>
    </xf>
    <xf numFmtId="0" fontId="10" fillId="8" borderId="0" applyAlignment="1" pivotButton="0" quotePrefix="0" xfId="0">
      <alignment horizontal="right" vertical="center" readingOrder="2"/>
    </xf>
    <xf numFmtId="0" fontId="10" fillId="9" borderId="0" applyAlignment="1" pivotButton="0" quotePrefix="0" xfId="0">
      <alignment horizontal="right" vertical="center" readingOrder="2"/>
    </xf>
    <xf numFmtId="0" fontId="0" fillId="4" borderId="0" pivotButton="0" quotePrefix="0" xfId="0"/>
    <xf numFmtId="0" fontId="0" fillId="1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"/>
  <sheetViews>
    <sheetView rightToLeft="1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5" customWidth="1" min="7" max="7"/>
    <col width="13" customWidth="1" min="8" max="8"/>
    <col width="13" customWidth="1" min="9" max="9"/>
    <col width="14" customWidth="1" min="10" max="10"/>
    <col width="12" customWidth="1" min="11" max="11"/>
    <col width="13" customWidth="1" min="12" max="12"/>
    <col width="14" customWidth="1" min="13" max="13"/>
    <col width="13" customWidth="1" min="14" max="14"/>
    <col width="16" customWidth="1" min="15" max="15"/>
    <col width="16" customWidth="1" min="16" max="16"/>
    <col width="11" customWidth="1" min="17" max="17"/>
    <col width="15" customWidth="1" min="18" max="18"/>
    <col width="18" customWidth="1" min="19" max="19"/>
    <col width="16" customWidth="1" min="20" max="20"/>
    <col width="18" customWidth="1" min="21" max="21"/>
    <col width="18" customWidth="1" min="22" max="22"/>
    <col width="14" customWidth="1" min="23" max="23"/>
    <col width="16" customWidth="1" min="24" max="24"/>
  </cols>
  <sheetData>
    <row r="1" ht="28" customHeight="1">
      <c r="A1" s="1" t="inlineStr">
        <is>
          <t>SPINZ — השוואת הצעות מחיר שליחויות</t>
        </is>
      </c>
    </row>
    <row r="2" ht="16" customHeight="1">
      <c r="A2" s="2" t="inlineStr">
        <is>
          <t>חבילה: 130×18×74 ס"מ · 12 ק"ג · מהמחסן עד הלקוח</t>
        </is>
      </c>
    </row>
    <row r="3" ht="6" customHeight="1"/>
    <row r="4" ht="20" customHeight="1">
      <c r="A4" s="3" t="inlineStr">
        <is>
          <t>── עלויות ──</t>
        </is>
      </c>
      <c r="H4" s="3" t="inlineStr">
        <is>
          <t>── שירות ──</t>
        </is>
      </c>
      <c r="M4" s="3" t="inlineStr">
        <is>
          <t>── ביטוח ──</t>
        </is>
      </c>
      <c r="Q4" s="3" t="inlineStr">
        <is>
          <t>── תפעול &amp; קשר ──</t>
        </is>
      </c>
      <c r="W4" s="3" t="inlineStr">
        <is>
          <t>── פיננסי ──</t>
        </is>
      </c>
      <c r="Y4" t="inlineStr">
        <is>
          <t>── עלויות קבועות ──</t>
        </is>
      </c>
      <c r="Z4" t="inlineStr">
        <is>
          <t>נשלח בקשת מחיר</t>
        </is>
      </c>
      <c r="AA4" t="inlineStr">
        <is>
          <t>נשלח בקשת מחיר</t>
        </is>
      </c>
      <c r="AB4" t="inlineStr">
        <is>
          <t>נשלח בקשת מחיר</t>
        </is>
      </c>
      <c r="AC4" t="inlineStr">
        <is>
          <t>נשלח בקשת מחיר</t>
        </is>
      </c>
      <c r="AD4" t="inlineStr">
        <is>
          <t>נשלח בקשת מחיר</t>
        </is>
      </c>
      <c r="AE4" t="inlineStr">
        <is>
          <t>נשלח בקשת מחיר</t>
        </is>
      </c>
      <c r="AF4" t="inlineStr">
        <is>
          <t>נשלח בקשת מחיר</t>
        </is>
      </c>
      <c r="AG4" t="inlineStr">
        <is>
          <t>נשלח בקשת מחיר</t>
        </is>
      </c>
      <c r="AH4" t="inlineStr">
        <is>
          <t>נשלח בקשת מחיר</t>
        </is>
      </c>
      <c r="AI4" t="inlineStr">
        <is>
          <t>נשלח בקשת מחיר</t>
        </is>
      </c>
    </row>
    <row r="5" ht="40" customHeight="1">
      <c r="A5" s="4" t="inlineStr">
        <is>
          <t>שם חברה</t>
        </is>
      </c>
      <c r="B5" s="4" t="inlineStr">
        <is>
          <t>מחיר בסיס (₪)</t>
        </is>
      </c>
      <c r="C5" s="4" t="inlineStr">
        <is>
          <t>תוספת חריג אורך (₪)</t>
        </is>
      </c>
      <c r="D5" s="4" t="inlineStr">
        <is>
          <t>תוספת פריפריה (₪)</t>
        </is>
      </c>
      <c r="E5" s="4" t="inlineStr">
        <is>
          <t>היטל דלק (%)</t>
        </is>
      </c>
      <c r="F5" s="4" t="inlineStr">
        <is>
          <t>ניסיון מסירה נוסף (₪)</t>
        </is>
      </c>
      <c r="G5" s="4" t="inlineStr">
        <is>
          <t>החזרה / לוגיסטיקה הפוכה (₪)</t>
        </is>
      </c>
      <c r="H5" s="4" t="inlineStr">
        <is>
          <t>זמן אספקה מרכז (ימים)</t>
        </is>
      </c>
      <c r="I5" s="4" t="inlineStr">
        <is>
          <t>זמן אספקה פריפריה (ימים)</t>
        </is>
      </c>
      <c r="J5" s="4" t="inlineStr">
        <is>
          <t>תדירות איסוף</t>
        </is>
      </c>
      <c r="K5" s="4" t="inlineStr">
        <is>
          <t>Cut-off time</t>
        </is>
      </c>
      <c r="L5" s="4" t="inlineStr">
        <is>
          <t>מינימום חבילות לאיסוף</t>
        </is>
      </c>
      <c r="M5" s="4" t="inlineStr">
        <is>
          <t>ביטוח סטנדרטי - מכסה עד (₪)</t>
        </is>
      </c>
      <c r="N5" s="4" t="inlineStr">
        <is>
          <t>השתתפות עצמית (₪)</t>
        </is>
      </c>
      <c r="O5" s="4" t="inlineStr">
        <is>
          <t>דרישות אריזה למימוש ביטוח</t>
        </is>
      </c>
      <c r="P5" s="4" t="inlineStr">
        <is>
          <t>SLA תביעות נזק - כמה זמן לזיכוי?</t>
        </is>
      </c>
      <c r="Q5" s="4" t="inlineStr">
        <is>
          <t>API / אינטגרציה</t>
        </is>
      </c>
      <c r="R5" s="4" t="inlineStr">
        <is>
          <t>מדפסת טרמית - מי מספק?</t>
        </is>
      </c>
      <c r="S5" s="4" t="inlineStr">
        <is>
          <t>איש קשר אישי</t>
        </is>
      </c>
      <c r="T5" s="4" t="inlineStr">
        <is>
          <t>תקופת חסד למינימום (חודשים)</t>
        </is>
      </c>
      <c r="U5" s="4" t="inlineStr">
        <is>
          <t>מדיניות חבילה בודדת / איסוף ריק</t>
        </is>
      </c>
      <c r="V5" s="4" t="inlineStr">
        <is>
          <t>אופן פתיחת קריאת איסוף</t>
        </is>
      </c>
      <c r="W5" s="4" t="inlineStr">
        <is>
          <t>טלפון ישיר</t>
        </is>
      </c>
      <c r="X5" s="4" t="inlineStr">
        <is>
          <t>תנאי תשלום (שוטף +?)</t>
        </is>
      </c>
      <c r="Y5" t="inlineStr">
        <is>
          <t>דמי מנוי חודשי (₪)</t>
        </is>
      </c>
      <c r="Z5" t="inlineStr">
        <is>
          <t>מינימום חיוב חודשי (₪)</t>
        </is>
      </c>
      <c r="AA5" t="inlineStr">
        <is>
          <t>עלויות קבועות סה"כ (₪)</t>
        </is>
      </c>
    </row>
    <row r="6" ht="20" customHeight="1">
      <c r="A6" s="5" t="inlineStr">
        <is>
          <t>כץ משלוחים (Katz)</t>
        </is>
      </c>
      <c r="B6" s="6" t="inlineStr"/>
      <c r="C6" s="6" t="inlineStr"/>
      <c r="D6" s="6" t="inlineStr"/>
      <c r="E6" s="6" t="inlineStr"/>
      <c r="F6" s="6" t="inlineStr"/>
      <c r="G6" s="6" t="inlineStr"/>
      <c r="H6" s="7" t="inlineStr"/>
      <c r="I6" s="7" t="inlineStr"/>
      <c r="J6" s="7" t="inlineStr"/>
      <c r="K6" s="7" t="inlineStr"/>
      <c r="L6" s="7" t="inlineStr"/>
      <c r="M6" s="8" t="inlineStr"/>
      <c r="N6" s="8" t="inlineStr"/>
      <c r="O6" s="8" t="inlineStr"/>
      <c r="P6" s="8" t="inlineStr"/>
      <c r="Q6" s="9" t="inlineStr"/>
      <c r="R6" s="9" t="inlineStr"/>
      <c r="S6" s="9" t="inlineStr"/>
      <c r="T6" s="9" t="inlineStr"/>
      <c r="U6" s="9" t="inlineStr"/>
      <c r="V6" s="9" t="inlineStr"/>
      <c r="W6" s="10" t="inlineStr"/>
      <c r="X6" s="10" t="inlineStr"/>
      <c r="AD6" t="inlineStr">
        <is>
          <t>✅ 25/05/2026</t>
        </is>
      </c>
    </row>
    <row r="7" ht="20" customHeight="1">
      <c r="A7" s="11" t="inlineStr">
        <is>
          <t>HFD שליחויות ולוגיסטיקה</t>
        </is>
      </c>
      <c r="B7" s="12" t="inlineStr">
        <is>
          <t>❌ לא רלוונטי — לא מפיצים חבילות במידות/משקל של האופניים</t>
        </is>
      </c>
      <c r="C7" s="12" t="inlineStr"/>
      <c r="D7" s="12" t="inlineStr"/>
      <c r="E7" s="12" t="inlineStr"/>
      <c r="F7" s="12" t="inlineStr"/>
      <c r="G7" s="12" t="inlineStr"/>
      <c r="H7" s="13" t="inlineStr"/>
      <c r="I7" s="13" t="inlineStr"/>
      <c r="J7" s="13" t="inlineStr"/>
      <c r="K7" s="13" t="inlineStr"/>
      <c r="L7" s="13" t="inlineStr"/>
      <c r="M7" s="14" t="inlineStr"/>
      <c r="N7" s="14" t="inlineStr"/>
      <c r="O7" s="14" t="inlineStr"/>
      <c r="P7" s="14" t="inlineStr"/>
      <c r="Q7" s="15" t="inlineStr"/>
      <c r="R7" s="15" t="inlineStr"/>
      <c r="S7" s="15" t="inlineStr"/>
      <c r="T7" s="15" t="inlineStr"/>
      <c r="U7" s="15" t="inlineStr"/>
      <c r="V7" s="15" t="inlineStr"/>
      <c r="W7" s="16" t="inlineStr"/>
      <c r="X7" s="16" t="inlineStr"/>
      <c r="AD7" t="inlineStr">
        <is>
          <t>✅ 25/05/2026</t>
        </is>
      </c>
      <c r="AF7" t="inlineStr">
        <is>
          <t>✅ 26/05/2026</t>
        </is>
      </c>
      <c r="AI7" t="inlineStr">
        <is>
          <t>✅ 31/05/2026</t>
        </is>
      </c>
    </row>
    <row r="8" ht="20" customHeight="1">
      <c r="A8" s="5" t="inlineStr">
        <is>
          <t>קארגו (Kargo)</t>
        </is>
      </c>
      <c r="B8" s="6" t="inlineStr"/>
      <c r="C8" s="6" t="inlineStr"/>
      <c r="D8" s="6" t="inlineStr"/>
      <c r="E8" s="6" t="inlineStr"/>
      <c r="F8" s="6" t="inlineStr"/>
      <c r="G8" s="6" t="inlineStr"/>
      <c r="H8" s="7" t="inlineStr"/>
      <c r="I8" s="7" t="inlineStr"/>
      <c r="J8" s="7" t="inlineStr"/>
      <c r="K8" s="7" t="inlineStr"/>
      <c r="L8" s="7" t="inlineStr"/>
      <c r="M8" s="8" t="inlineStr"/>
      <c r="N8" s="8" t="inlineStr"/>
      <c r="O8" s="8" t="inlineStr"/>
      <c r="P8" s="8" t="inlineStr"/>
      <c r="Q8" s="9" t="inlineStr"/>
      <c r="R8" s="9" t="inlineStr"/>
      <c r="S8" s="9" t="inlineStr"/>
      <c r="T8" s="9" t="inlineStr"/>
      <c r="U8" s="9" t="inlineStr"/>
      <c r="V8" s="9" t="inlineStr"/>
      <c r="W8" s="10" t="inlineStr"/>
      <c r="X8" s="10" t="inlineStr"/>
      <c r="AD8" t="inlineStr">
        <is>
          <t>✅ 25/05/2026</t>
        </is>
      </c>
      <c r="AE8" t="inlineStr">
        <is>
          <t>✅ 25/05/2026</t>
        </is>
      </c>
    </row>
    <row r="9" ht="20" customHeight="1">
      <c r="A9" s="11" t="inlineStr">
        <is>
          <t>צ'יטה שליחויות (Cheetah)</t>
        </is>
      </c>
      <c r="B9" s="12" t="n">
        <v>70</v>
      </c>
      <c r="C9" s="12" t="inlineStr">
        <is>
          <t>כלול</t>
        </is>
      </c>
      <c r="D9" s="12" t="inlineStr">
        <is>
          <t>+50%</t>
        </is>
      </c>
      <c r="E9" s="12" t="inlineStr"/>
      <c r="F9" s="12" t="inlineStr"/>
      <c r="G9" s="12" t="inlineStr">
        <is>
          <t>+100%</t>
        </is>
      </c>
      <c r="H9" s="13" t="inlineStr"/>
      <c r="I9" s="13" t="inlineStr"/>
      <c r="J9" s="13" t="inlineStr"/>
      <c r="K9" s="13" t="inlineStr"/>
      <c r="L9" s="13" t="inlineStr"/>
      <c r="M9" s="14" t="inlineStr">
        <is>
          <t>140 ₪/חודש (כל המשלוחים)</t>
        </is>
      </c>
      <c r="N9" s="14" t="inlineStr">
        <is>
          <t>לפי תנאי ההסכם</t>
        </is>
      </c>
      <c r="O9" s="14" t="inlineStr"/>
      <c r="P9" s="14" t="inlineStr"/>
      <c r="Q9" s="15" t="inlineStr"/>
      <c r="R9" s="15" t="inlineStr"/>
      <c r="S9" s="15" t="inlineStr"/>
      <c r="T9" s="15" t="inlineStr"/>
      <c r="U9" s="15" t="inlineStr"/>
      <c r="V9" s="15" t="inlineStr"/>
      <c r="W9" s="16" t="inlineStr"/>
      <c r="X9" s="16" t="inlineStr"/>
      <c r="Y9" t="n">
        <v>120</v>
      </c>
      <c r="Z9" t="n">
        <v>700</v>
      </c>
      <c r="AA9" t="n">
        <v>960</v>
      </c>
      <c r="AD9" t="inlineStr">
        <is>
          <t>✅ 25/05/2026</t>
        </is>
      </c>
      <c r="AI9" t="inlineStr">
        <is>
          <t>✅ 31/05/2026</t>
        </is>
      </c>
    </row>
    <row r="10" ht="20" customHeight="1">
      <c r="A10" s="5" t="inlineStr">
        <is>
          <t>תפוז שליחויות (Tapuz)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7" t="inlineStr"/>
      <c r="I10" s="7" t="inlineStr"/>
      <c r="J10" s="7" t="inlineStr"/>
      <c r="K10" s="7" t="inlineStr"/>
      <c r="L10" s="7" t="inlineStr"/>
      <c r="M10" s="8" t="inlineStr"/>
      <c r="N10" s="8" t="inlineStr"/>
      <c r="O10" s="8" t="inlineStr"/>
      <c r="P10" s="8" t="inlineStr"/>
      <c r="Q10" s="9" t="inlineStr"/>
      <c r="R10" s="9" t="inlineStr"/>
      <c r="S10" s="9" t="inlineStr"/>
      <c r="T10" s="9" t="inlineStr"/>
      <c r="U10" s="9" t="inlineStr"/>
      <c r="V10" s="9" t="inlineStr"/>
      <c r="W10" s="10" t="inlineStr"/>
      <c r="X10" s="10" t="inlineStr"/>
      <c r="AD10" t="inlineStr">
        <is>
          <t>✅ 25/05/2026</t>
        </is>
      </c>
      <c r="AF10" t="inlineStr">
        <is>
          <t>✅ 26/05/2026</t>
        </is>
      </c>
      <c r="AI10" t="inlineStr">
        <is>
          <t>✅ 31/05/2026</t>
        </is>
      </c>
    </row>
    <row r="11" ht="20" customHeight="1">
      <c r="A11" s="11" t="inlineStr">
        <is>
          <t>YDM</t>
        </is>
      </c>
      <c r="B11" s="12" t="inlineStr"/>
      <c r="C11" s="12" t="inlineStr"/>
      <c r="D11" s="12" t="inlineStr"/>
      <c r="E11" s="12" t="inlineStr"/>
      <c r="F11" s="12" t="inlineStr"/>
      <c r="G11" s="12" t="inlineStr"/>
      <c r="H11" s="13" t="inlineStr"/>
      <c r="I11" s="13" t="inlineStr"/>
      <c r="J11" s="13" t="inlineStr"/>
      <c r="K11" s="13" t="inlineStr"/>
      <c r="L11" s="13" t="inlineStr"/>
      <c r="M11" s="14" t="inlineStr"/>
      <c r="N11" s="14" t="inlineStr"/>
      <c r="O11" s="14" t="inlineStr"/>
      <c r="P11" s="14" t="inlineStr"/>
      <c r="Q11" s="15" t="inlineStr"/>
      <c r="R11" s="15" t="inlineStr"/>
      <c r="S11" s="15" t="inlineStr"/>
      <c r="T11" s="15" t="inlineStr"/>
      <c r="U11" s="15" t="inlineStr"/>
      <c r="V11" s="15" t="inlineStr"/>
      <c r="W11" s="16" t="inlineStr"/>
      <c r="X11" s="16" t="inlineStr"/>
      <c r="AD11" t="inlineStr">
        <is>
          <t>✅ 25/05/2026</t>
        </is>
      </c>
    </row>
    <row r="12" ht="20" customHeight="1">
      <c r="A12" s="5" t="inlineStr">
        <is>
          <t>דואר ישראל (דואר שליחים)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7" t="inlineStr"/>
      <c r="I12" s="7" t="inlineStr"/>
      <c r="J12" s="7" t="inlineStr"/>
      <c r="K12" s="7" t="inlineStr"/>
      <c r="L12" s="7" t="inlineStr"/>
      <c r="M12" s="8" t="inlineStr"/>
      <c r="N12" s="8" t="inlineStr"/>
      <c r="O12" s="8" t="inlineStr"/>
      <c r="P12" s="8" t="inlineStr"/>
      <c r="Q12" s="9" t="inlineStr"/>
      <c r="R12" s="9" t="inlineStr"/>
      <c r="S12" s="9" t="inlineStr"/>
      <c r="T12" s="9" t="inlineStr"/>
      <c r="U12" s="9" t="inlineStr"/>
      <c r="V12" s="9" t="inlineStr"/>
      <c r="W12" s="10" t="inlineStr"/>
      <c r="X12" s="10" t="inlineStr"/>
      <c r="AD12" t="inlineStr">
        <is>
          <t>✅ 25/05/2026</t>
        </is>
      </c>
    </row>
    <row r="13" ht="20" customHeight="1">
      <c r="A13" s="11" t="inlineStr">
        <is>
          <t>הום דילברי (Home Delivery)</t>
        </is>
      </c>
      <c r="B13" s="12" t="inlineStr">
        <is>
          <t>⚠️ לא אומתה כחברה פעילה — לא נמצא אתר/מייל</t>
        </is>
      </c>
      <c r="C13" s="12" t="inlineStr"/>
      <c r="D13" s="12" t="inlineStr"/>
      <c r="E13" s="12" t="inlineStr"/>
      <c r="F13" s="12" t="inlineStr"/>
      <c r="G13" s="12" t="inlineStr"/>
      <c r="H13" s="13" t="inlineStr"/>
      <c r="I13" s="13" t="inlineStr"/>
      <c r="J13" s="13" t="inlineStr"/>
      <c r="K13" s="13" t="inlineStr"/>
      <c r="L13" s="13" t="inlineStr"/>
      <c r="M13" s="14" t="inlineStr"/>
      <c r="N13" s="14" t="inlineStr"/>
      <c r="O13" s="14" t="inlineStr"/>
      <c r="P13" s="14" t="inlineStr"/>
      <c r="Q13" s="15" t="inlineStr"/>
      <c r="R13" s="15" t="inlineStr"/>
      <c r="S13" s="15" t="inlineStr"/>
      <c r="T13" s="15" t="inlineStr"/>
      <c r="U13" s="15" t="inlineStr"/>
      <c r="V13" s="15" t="inlineStr"/>
      <c r="W13" s="16" t="inlineStr"/>
      <c r="X13" s="16" t="inlineStr"/>
      <c r="AG13" t="inlineStr">
        <is>
          <t>✅ 31/05/2026</t>
        </is>
      </c>
      <c r="AH13" t="inlineStr">
        <is>
          <t>✅ 31/05/2026</t>
        </is>
      </c>
    </row>
    <row r="14" ht="20" customHeight="1">
      <c r="A14" s="5" t="inlineStr">
        <is>
          <t>יונט קארגו</t>
        </is>
      </c>
      <c r="B14" s="6" t="inlineStr">
        <is>
          <t>⚠️ לא אומתה כחברה פעילה — לא נמצא אתר/מייל</t>
        </is>
      </c>
      <c r="C14" s="6" t="inlineStr"/>
      <c r="D14" s="6" t="inlineStr"/>
      <c r="E14" s="6" t="inlineStr"/>
      <c r="F14" s="6" t="inlineStr"/>
      <c r="G14" s="6" t="inlineStr"/>
      <c r="H14" s="7" t="inlineStr"/>
      <c r="I14" s="7" t="inlineStr"/>
      <c r="J14" s="7" t="inlineStr"/>
      <c r="K14" s="7" t="inlineStr"/>
      <c r="L14" s="7" t="inlineStr"/>
      <c r="M14" s="8" t="inlineStr"/>
      <c r="N14" s="8" t="inlineStr"/>
      <c r="O14" s="8" t="inlineStr"/>
      <c r="P14" s="8" t="inlineStr"/>
      <c r="Q14" s="9" t="inlineStr"/>
      <c r="R14" s="9" t="inlineStr"/>
      <c r="S14" s="9" t="inlineStr"/>
      <c r="T14" s="9" t="inlineStr"/>
      <c r="U14" s="9" t="inlineStr"/>
      <c r="V14" s="9" t="inlineStr"/>
      <c r="W14" s="10" t="inlineStr"/>
      <c r="X14" s="10" t="inlineStr"/>
      <c r="AD14" t="inlineStr">
        <is>
          <t>✅ 25/05/2026</t>
        </is>
      </c>
      <c r="AE14" t="inlineStr">
        <is>
          <t>✅ 25/05/2026</t>
        </is>
      </c>
    </row>
    <row r="15" ht="20" customHeight="1">
      <c r="A15" s="11" t="inlineStr">
        <is>
          <t>נאוי לוגיסטיקה</t>
        </is>
      </c>
      <c r="B15" s="12" t="inlineStr">
        <is>
          <t>⚠️ לא אומתה כחברה פעילה — לא נמצא אתר/מייל</t>
        </is>
      </c>
      <c r="C15" s="12" t="inlineStr"/>
      <c r="D15" s="12" t="inlineStr"/>
      <c r="E15" s="12" t="inlineStr"/>
      <c r="F15" s="12" t="inlineStr"/>
      <c r="G15" s="12" t="inlineStr"/>
      <c r="H15" s="13" t="inlineStr"/>
      <c r="I15" s="13" t="inlineStr"/>
      <c r="J15" s="13" t="inlineStr"/>
      <c r="K15" s="13" t="inlineStr"/>
      <c r="L15" s="13" t="inlineStr"/>
      <c r="M15" s="14" t="inlineStr"/>
      <c r="N15" s="14" t="inlineStr"/>
      <c r="O15" s="14" t="inlineStr"/>
      <c r="P15" s="14" t="inlineStr"/>
      <c r="Q15" s="15" t="inlineStr"/>
      <c r="R15" s="15" t="inlineStr"/>
      <c r="S15" s="15" t="inlineStr"/>
      <c r="T15" s="15" t="inlineStr"/>
      <c r="U15" s="15" t="inlineStr"/>
      <c r="V15" s="15" t="inlineStr"/>
      <c r="W15" s="16" t="inlineStr"/>
      <c r="X15" s="16" t="inlineStr"/>
      <c r="AI15" t="inlineStr">
        <is>
          <t>✅ 31/05/2026</t>
        </is>
      </c>
    </row>
    <row r="16" ht="20" customHeight="1">
      <c r="A16" s="5" t="inlineStr">
        <is>
          <t>ATA לוגיסטיקה</t>
        </is>
      </c>
      <c r="B16" s="6" t="inlineStr">
        <is>
          <t>⚠️ לא אומתה כחברה פעילה — לא נמצא אתר/מייל</t>
        </is>
      </c>
      <c r="C16" s="6" t="inlineStr"/>
      <c r="D16" s="6" t="inlineStr"/>
      <c r="E16" s="6" t="inlineStr"/>
      <c r="F16" s="6" t="inlineStr"/>
      <c r="G16" s="6" t="inlineStr"/>
      <c r="H16" s="7" t="inlineStr"/>
      <c r="I16" s="7" t="inlineStr"/>
      <c r="J16" s="7" t="inlineStr"/>
      <c r="K16" s="7" t="inlineStr"/>
      <c r="L16" s="7" t="inlineStr"/>
      <c r="M16" s="8" t="inlineStr"/>
      <c r="N16" s="8" t="inlineStr"/>
      <c r="O16" s="8" t="inlineStr"/>
      <c r="P16" s="8" t="inlineStr"/>
      <c r="Q16" s="9" t="inlineStr"/>
      <c r="R16" s="9" t="inlineStr"/>
      <c r="S16" s="9" t="inlineStr"/>
      <c r="T16" s="9" t="inlineStr"/>
      <c r="U16" s="9" t="inlineStr"/>
      <c r="V16" s="9" t="inlineStr"/>
      <c r="W16" s="10" t="inlineStr"/>
      <c r="X16" s="10" t="inlineStr"/>
      <c r="AI16" t="inlineStr">
        <is>
          <t>✅ 31/05/2026</t>
        </is>
      </c>
    </row>
    <row r="17" ht="20" customHeight="1">
      <c r="A17" s="11" t="inlineStr">
        <is>
          <t>Box.it</t>
        </is>
      </c>
      <c r="B17" s="12" t="inlineStr"/>
      <c r="C17" s="12" t="inlineStr"/>
      <c r="D17" s="12" t="inlineStr"/>
      <c r="E17" s="12" t="inlineStr"/>
      <c r="F17" s="12" t="inlineStr"/>
      <c r="G17" s="12" t="inlineStr"/>
      <c r="H17" s="13" t="inlineStr"/>
      <c r="I17" s="13" t="inlineStr"/>
      <c r="J17" s="13" t="inlineStr"/>
      <c r="K17" s="13" t="inlineStr"/>
      <c r="L17" s="13" t="inlineStr"/>
      <c r="M17" s="14" t="inlineStr"/>
      <c r="N17" s="14" t="inlineStr"/>
      <c r="O17" s="14" t="inlineStr"/>
      <c r="P17" s="14" t="inlineStr"/>
      <c r="Q17" s="15" t="inlineStr"/>
      <c r="R17" s="15" t="inlineStr"/>
      <c r="S17" s="15" t="inlineStr"/>
      <c r="T17" s="15" t="inlineStr"/>
      <c r="U17" s="15" t="inlineStr"/>
      <c r="V17" s="15" t="inlineStr"/>
      <c r="W17" s="16" t="inlineStr"/>
      <c r="X17" s="16" t="inlineStr"/>
      <c r="AD17" t="inlineStr">
        <is>
          <t>✅ 25/05/2026</t>
        </is>
      </c>
    </row>
    <row r="18" ht="20" customHeight="1">
      <c r="A18" s="5" t="inlineStr">
        <is>
          <t>Speedex</t>
        </is>
      </c>
      <c r="B18" s="6" t="inlineStr">
        <is>
          <t>⚠️ לא אומתה כחברה פעילה — לא נמצא אתר/מייל</t>
        </is>
      </c>
      <c r="C18" s="6" t="inlineStr"/>
      <c r="D18" s="6" t="inlineStr"/>
      <c r="E18" s="6" t="inlineStr"/>
      <c r="F18" s="6" t="inlineStr"/>
      <c r="G18" s="6" t="inlineStr"/>
      <c r="H18" s="7" t="inlineStr"/>
      <c r="I18" s="7" t="inlineStr"/>
      <c r="J18" s="7" t="inlineStr"/>
      <c r="K18" s="7" t="inlineStr"/>
      <c r="L18" s="7" t="inlineStr"/>
      <c r="M18" s="8" t="inlineStr"/>
      <c r="N18" s="8" t="inlineStr"/>
      <c r="O18" s="8" t="inlineStr"/>
      <c r="P18" s="8" t="inlineStr"/>
      <c r="Q18" s="9" t="inlineStr"/>
      <c r="R18" s="9" t="inlineStr"/>
      <c r="S18" s="9" t="inlineStr"/>
      <c r="T18" s="9" t="inlineStr"/>
      <c r="U18" s="9" t="inlineStr"/>
      <c r="V18" s="9" t="inlineStr"/>
      <c r="W18" s="10" t="inlineStr"/>
      <c r="X18" s="10" t="inlineStr"/>
    </row>
    <row r="19" ht="20" customHeight="1">
      <c r="A19" s="11" t="inlineStr">
        <is>
          <t>TNT / FedEx</t>
        </is>
      </c>
      <c r="B19" s="12" t="inlineStr"/>
      <c r="C19" s="12" t="inlineStr"/>
      <c r="D19" s="12" t="inlineStr"/>
      <c r="E19" s="12" t="inlineStr"/>
      <c r="F19" s="12" t="inlineStr"/>
      <c r="G19" s="12" t="inlineStr"/>
      <c r="H19" s="13" t="inlineStr"/>
      <c r="I19" s="13" t="inlineStr"/>
      <c r="J19" s="13" t="inlineStr"/>
      <c r="K19" s="13" t="inlineStr"/>
      <c r="L19" s="13" t="inlineStr"/>
      <c r="M19" s="14" t="inlineStr"/>
      <c r="N19" s="14" t="inlineStr"/>
      <c r="O19" s="14" t="inlineStr"/>
      <c r="P19" s="14" t="inlineStr"/>
      <c r="Q19" s="15" t="inlineStr"/>
      <c r="R19" s="15" t="inlineStr"/>
      <c r="S19" s="15" t="inlineStr"/>
      <c r="T19" s="15" t="inlineStr"/>
      <c r="U19" s="15" t="inlineStr"/>
      <c r="V19" s="15" t="inlineStr"/>
      <c r="W19" s="16" t="inlineStr"/>
      <c r="X19" s="16" t="inlineStr"/>
    </row>
    <row r="20">
      <c r="A20" s="41" t="inlineStr">
        <is>
          <t>Tigger Delivery</t>
        </is>
      </c>
      <c r="B20" s="41" t="n">
        <v>80</v>
      </c>
      <c r="C20" s="41" t="inlineStr">
        <is>
          <t>כלול במחיר</t>
        </is>
      </c>
      <c r="D20" s="41" t="inlineStr">
        <is>
          <t>100 ש"ח — אילת, ערבה, ים המלח, דימונה</t>
        </is>
      </c>
      <c r="E20" s="41" t="n"/>
      <c r="F20" s="41" t="n"/>
      <c r="G20" s="41" t="n"/>
      <c r="H20" s="42" t="inlineStr">
        <is>
          <t>עד 5</t>
        </is>
      </c>
      <c r="I20" s="42" t="inlineStr">
        <is>
          <t>עד 5</t>
        </is>
      </c>
      <c r="J20" s="42" t="n"/>
      <c r="K20" s="42" t="n"/>
      <c r="L20" s="42" t="inlineStr">
        <is>
          <t>בנק 50 משלוחים (ללא הגבלת זמן)</t>
        </is>
      </c>
      <c r="M20" s="43" t="n"/>
      <c r="N20" s="43" t="n"/>
      <c r="O20" s="43" t="n"/>
      <c r="P20" s="43" t="n"/>
      <c r="Q20" s="44" t="n"/>
      <c r="R20" s="44" t="n"/>
      <c r="S20" s="44" t="n"/>
      <c r="T20" s="44" t="n"/>
      <c r="U20" s="44" t="n"/>
      <c r="V20" s="44" t="n"/>
      <c r="W20" s="44" t="n"/>
      <c r="X20" s="44" t="inlineStr">
        <is>
          <t>לא כולל מע"מ</t>
        </is>
      </c>
      <c r="Y20" s="44" t="n"/>
      <c r="Z20" s="44" t="inlineStr">
        <is>
          <t>אין מינימום חודשי — בנק 50 משלוחים</t>
        </is>
      </c>
      <c r="AA20" s="44" t="n"/>
      <c r="AB20" s="44" t="n"/>
      <c r="AC20" s="44" t="n"/>
      <c r="AD20" s="44" t="n"/>
      <c r="AE20" s="44" t="n"/>
      <c r="AF20" s="44" t="n"/>
      <c r="AG20" s="44" t="inlineStr">
        <is>
          <t>✅ 31/05/2026</t>
        </is>
      </c>
      <c r="AH20" s="44" t="inlineStr">
        <is>
          <t>✅ 31/05/2026</t>
        </is>
      </c>
      <c r="AI20" s="44" t="n"/>
    </row>
    <row r="21">
      <c r="A21" s="45" t="inlineStr">
        <is>
          <t>יהב לוגיסטיקה</t>
        </is>
      </c>
      <c r="B21" s="45" t="n"/>
      <c r="C21" s="45" t="n"/>
      <c r="D21" s="45" t="n"/>
      <c r="E21" s="45" t="n"/>
      <c r="F21" s="45" t="n"/>
      <c r="G21" s="45" t="n"/>
      <c r="H21" s="46" t="n"/>
      <c r="I21" s="46" t="n"/>
      <c r="J21" s="46" t="n"/>
      <c r="K21" s="46" t="n"/>
      <c r="L21" s="46" t="n"/>
      <c r="M21" s="47" t="n"/>
      <c r="N21" s="47" t="n"/>
      <c r="O21" s="47" t="n"/>
      <c r="P21" s="47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48" t="n"/>
      <c r="AI21" s="48" t="n"/>
    </row>
    <row r="22">
      <c r="A22" s="41" t="inlineStr">
        <is>
          <t>אמגון</t>
        </is>
      </c>
      <c r="B22" s="41" t="n"/>
      <c r="C22" s="41" t="n"/>
      <c r="D22" s="41" t="n"/>
      <c r="E22" s="41" t="n"/>
      <c r="F22" s="41" t="n"/>
      <c r="G22" s="41" t="n"/>
      <c r="H22" s="42" t="n"/>
      <c r="I22" s="42" t="n"/>
      <c r="J22" s="42" t="n"/>
      <c r="K22" s="42" t="n"/>
      <c r="L22" s="42" t="n"/>
      <c r="M22" s="43" t="n"/>
      <c r="N22" s="43" t="n"/>
      <c r="O22" s="43" t="n"/>
      <c r="P22" s="43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  <c r="AE22" s="44" t="n"/>
      <c r="AF22" s="44" t="n"/>
      <c r="AG22" s="44" t="n"/>
      <c r="AH22" s="44" t="n"/>
      <c r="AI22" s="44" t="n"/>
    </row>
    <row r="23">
      <c r="A23" s="45" t="inlineStr">
        <is>
          <t>רצ פלוס שליחויות</t>
        </is>
      </c>
      <c r="B23" s="45" t="n"/>
      <c r="C23" s="45" t="n"/>
      <c r="D23" s="45" t="n"/>
      <c r="E23" s="45" t="n"/>
      <c r="F23" s="45" t="n"/>
      <c r="G23" s="45" t="n"/>
      <c r="H23" s="46" t="n"/>
      <c r="I23" s="46" t="n"/>
      <c r="J23" s="46" t="n"/>
      <c r="K23" s="46" t="n"/>
      <c r="L23" s="46" t="n"/>
      <c r="M23" s="47" t="n"/>
      <c r="N23" s="47" t="n"/>
      <c r="O23" s="47" t="n"/>
      <c r="P23" s="47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  <c r="AG23" s="48" t="n"/>
      <c r="AH23" s="48" t="n"/>
      <c r="AI23" s="48" t="n"/>
    </row>
    <row r="24">
      <c r="A24" s="41" t="inlineStr">
        <is>
          <t>GCX</t>
        </is>
      </c>
      <c r="B24" s="41" t="n"/>
      <c r="C24" s="41" t="n"/>
      <c r="D24" s="41" t="n"/>
      <c r="E24" s="41" t="n"/>
      <c r="F24" s="41" t="n"/>
      <c r="G24" s="41" t="n"/>
      <c r="H24" s="42" t="n"/>
      <c r="I24" s="42" t="n"/>
      <c r="J24" s="42" t="n"/>
      <c r="K24" s="42" t="n"/>
      <c r="L24" s="42" t="n"/>
      <c r="M24" s="43" t="n"/>
      <c r="N24" s="43" t="n"/>
      <c r="O24" s="43" t="n"/>
      <c r="P24" s="43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4" t="n"/>
      <c r="AF24" s="44" t="n"/>
      <c r="AG24" s="44" t="n"/>
      <c r="AH24" s="44" t="n"/>
      <c r="AI24" s="44" t="n"/>
    </row>
    <row r="25">
      <c r="A25" s="45" t="inlineStr">
        <is>
          <t>Gaash Worldwide</t>
        </is>
      </c>
      <c r="B25" s="45" t="n"/>
      <c r="C25" s="45" t="n"/>
      <c r="D25" s="45" t="n"/>
      <c r="E25" s="45" t="n"/>
      <c r="F25" s="45" t="n"/>
      <c r="G25" s="45" t="n"/>
      <c r="H25" s="46" t="n"/>
      <c r="I25" s="46" t="n"/>
      <c r="J25" s="46" t="n"/>
      <c r="K25" s="46" t="n"/>
      <c r="L25" s="46" t="n"/>
      <c r="M25" s="47" t="n"/>
      <c r="N25" s="47" t="n"/>
      <c r="O25" s="47" t="n"/>
      <c r="P25" s="47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  <c r="AA25" s="48" t="n"/>
      <c r="AB25" s="48" t="n"/>
      <c r="AC25" s="48" t="n"/>
      <c r="AD25" s="48" t="n"/>
      <c r="AE25" s="48" t="n"/>
      <c r="AF25" s="48" t="n"/>
      <c r="AG25" s="48" t="n"/>
      <c r="AH25" s="48" t="n"/>
      <c r="AI25" s="48" t="n"/>
    </row>
  </sheetData>
  <mergeCells count="7">
    <mergeCell ref="W4:X4"/>
    <mergeCell ref="M4:P4"/>
    <mergeCell ref="A2:X2"/>
    <mergeCell ref="A4:G4"/>
    <mergeCell ref="Q4:V4"/>
    <mergeCell ref="A1:X1"/>
    <mergeCell ref="H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rightToLeft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2" customWidth="1" min="4" max="4"/>
    <col width="18" customWidth="1" min="5" max="5"/>
  </cols>
  <sheetData>
    <row r="1" ht="28" customHeight="1">
      <c r="A1" s="1" t="inlineStr">
        <is>
          <t>SPINZ — סימולטור עלות שליחויות חודשית</t>
        </is>
      </c>
    </row>
    <row r="2" ht="16" customHeight="1">
      <c r="A2" s="2" t="inlineStr">
        <is>
          <t>שנה את כמות החבילות — העלות החודשית מחושבת אוטומטית</t>
        </is>
      </c>
    </row>
    <row r="3" ht="6" customHeight="1"/>
    <row r="4" ht="20" customHeight="1">
      <c r="A4" s="17" t="inlineStr">
        <is>
          <t>קלט</t>
        </is>
      </c>
    </row>
    <row r="5" ht="26" customHeight="1">
      <c r="A5" s="18" t="inlineStr">
        <is>
          <t>כמות חבילות בחודש:</t>
        </is>
      </c>
      <c r="B5" s="19" t="n">
        <v>50</v>
      </c>
      <c r="C5" s="20" t="inlineStr">
        <is>
          <t>← שנה כאן</t>
        </is>
      </c>
    </row>
    <row r="6" ht="6" customHeight="1"/>
    <row r="7" ht="20" customHeight="1">
      <c r="A7" s="17" t="inlineStr">
        <is>
          <t>תוצאות</t>
        </is>
      </c>
    </row>
    <row r="8" ht="36" customHeight="1">
      <c r="A8" s="21" t="inlineStr">
        <is>
          <t>שם חברה</t>
        </is>
      </c>
      <c r="B8" s="21" t="inlineStr">
        <is>
          <t>מחיר בסיס (₪)</t>
        </is>
      </c>
      <c r="C8" s="21" t="inlineStr">
        <is>
          <t>תוספות ממוצע (₪)</t>
        </is>
      </c>
      <c r="D8" s="21" t="inlineStr">
        <is>
          <t>עלות לחבילה (₪)</t>
        </is>
      </c>
      <c r="E8" s="21" t="inlineStr">
        <is>
          <t>עלות חודשית (₪)</t>
        </is>
      </c>
    </row>
    <row r="9" ht="20" customHeight="1">
      <c r="A9" s="22" t="inlineStr">
        <is>
          <t>כץ משלוחים (Katz)</t>
        </is>
      </c>
      <c r="B9" s="23" t="inlineStr"/>
      <c r="C9" s="23" t="inlineStr"/>
      <c r="D9" s="24">
        <f>IF(AND(B9&lt;&gt;"",C9&lt;&gt;""),B9+C9,"")</f>
        <v/>
      </c>
      <c r="E9" s="25">
        <f>IF(D9&lt;&gt;"",D9*$B$5,"")</f>
        <v/>
      </c>
    </row>
    <row r="10" ht="20" customHeight="1">
      <c r="A10" s="18" t="inlineStr">
        <is>
          <t>HFD שליחויות ולוגיסטיקה</t>
        </is>
      </c>
      <c r="B10" s="26" t="inlineStr"/>
      <c r="C10" s="26" t="inlineStr"/>
      <c r="D10" s="27">
        <f>IF(AND(B10&lt;&gt;"",C10&lt;&gt;""),B10+C10,"")</f>
        <v/>
      </c>
      <c r="E10" s="28">
        <f>IF(D10&lt;&gt;"",D10*$B$5,"")</f>
        <v/>
      </c>
    </row>
    <row r="11" ht="20" customHeight="1">
      <c r="A11" s="22" t="inlineStr">
        <is>
          <t>קארגו (Kargo)</t>
        </is>
      </c>
      <c r="B11" s="23" t="inlineStr"/>
      <c r="C11" s="23" t="inlineStr"/>
      <c r="D11" s="24">
        <f>IF(AND(B11&lt;&gt;"",C11&lt;&gt;""),B11+C11,"")</f>
        <v/>
      </c>
      <c r="E11" s="25">
        <f>IF(D11&lt;&gt;"",D11*$B$5,"")</f>
        <v/>
      </c>
    </row>
    <row r="12" ht="20" customHeight="1">
      <c r="A12" s="18" t="inlineStr">
        <is>
          <t>צ'יטה שליחויות (Cheetah)</t>
        </is>
      </c>
      <c r="B12" s="26" t="inlineStr"/>
      <c r="C12" s="26" t="inlineStr"/>
      <c r="D12" s="27">
        <f>IF(AND(B12&lt;&gt;"",C12&lt;&gt;""),B12+C12,"")</f>
        <v/>
      </c>
      <c r="E12" s="28">
        <f>IF(D12&lt;&gt;"",D12*$B$5,"")</f>
        <v/>
      </c>
    </row>
    <row r="13" ht="20" customHeight="1">
      <c r="A13" s="22" t="inlineStr">
        <is>
          <t>תפוז שליחויות (Tapuz)</t>
        </is>
      </c>
      <c r="B13" s="23" t="inlineStr"/>
      <c r="C13" s="23" t="inlineStr"/>
      <c r="D13" s="24">
        <f>IF(AND(B13&lt;&gt;"",C13&lt;&gt;""),B13+C13,"")</f>
        <v/>
      </c>
      <c r="E13" s="25">
        <f>IF(D13&lt;&gt;"",D13*$B$5,"")</f>
        <v/>
      </c>
    </row>
    <row r="14" ht="20" customHeight="1">
      <c r="A14" s="18" t="inlineStr">
        <is>
          <t>YDM</t>
        </is>
      </c>
      <c r="B14" s="26" t="inlineStr"/>
      <c r="C14" s="26" t="inlineStr"/>
      <c r="D14" s="27">
        <f>IF(AND(B14&lt;&gt;"",C14&lt;&gt;""),B14+C14,"")</f>
        <v/>
      </c>
      <c r="E14" s="28">
        <f>IF(D14&lt;&gt;"",D14*$B$5,"")</f>
        <v/>
      </c>
    </row>
    <row r="15" ht="20" customHeight="1">
      <c r="A15" s="22" t="inlineStr">
        <is>
          <t>דואר ישראל (דואר שליחים)</t>
        </is>
      </c>
      <c r="B15" s="23" t="inlineStr"/>
      <c r="C15" s="23" t="inlineStr"/>
      <c r="D15" s="24">
        <f>IF(AND(B15&lt;&gt;"",C15&lt;&gt;""),B15+C15,"")</f>
        <v/>
      </c>
      <c r="E15" s="25">
        <f>IF(D15&lt;&gt;"",D15*$B$5,"")</f>
        <v/>
      </c>
    </row>
    <row r="16" ht="20" customHeight="1">
      <c r="A16" s="18" t="inlineStr">
        <is>
          <t>הום דילברי (Home Delivery)</t>
        </is>
      </c>
      <c r="B16" s="26" t="inlineStr"/>
      <c r="C16" s="26" t="inlineStr"/>
      <c r="D16" s="27">
        <f>IF(AND(B16&lt;&gt;"",C16&lt;&gt;""),B16+C16,"")</f>
        <v/>
      </c>
      <c r="E16" s="28">
        <f>IF(D16&lt;&gt;"",D16*$B$5,"")</f>
        <v/>
      </c>
    </row>
    <row r="17" ht="20" customHeight="1">
      <c r="A17" s="22" t="inlineStr">
        <is>
          <t>יונט קארגו</t>
        </is>
      </c>
      <c r="B17" s="23" t="inlineStr"/>
      <c r="C17" s="23" t="inlineStr"/>
      <c r="D17" s="24">
        <f>IF(AND(B17&lt;&gt;"",C17&lt;&gt;""),B17+C17,"")</f>
        <v/>
      </c>
      <c r="E17" s="25">
        <f>IF(D17&lt;&gt;"",D17*$B$5,"")</f>
        <v/>
      </c>
    </row>
    <row r="18" ht="20" customHeight="1">
      <c r="A18" s="18" t="inlineStr">
        <is>
          <t>נאוי לוגיסטיקה</t>
        </is>
      </c>
      <c r="B18" s="26" t="inlineStr"/>
      <c r="C18" s="26" t="inlineStr"/>
      <c r="D18" s="27">
        <f>IF(AND(B18&lt;&gt;"",C18&lt;&gt;""),B18+C18,"")</f>
        <v/>
      </c>
      <c r="E18" s="28">
        <f>IF(D18&lt;&gt;"",D18*$B$5,"")</f>
        <v/>
      </c>
    </row>
    <row r="19" ht="20" customHeight="1">
      <c r="A19" s="22" t="inlineStr">
        <is>
          <t>ATA לוגיסטיקה</t>
        </is>
      </c>
      <c r="B19" s="23" t="inlineStr"/>
      <c r="C19" s="23" t="inlineStr"/>
      <c r="D19" s="24">
        <f>IF(AND(B19&lt;&gt;"",C19&lt;&gt;""),B19+C19,"")</f>
        <v/>
      </c>
      <c r="E19" s="25">
        <f>IF(D19&lt;&gt;"",D19*$B$5,"")</f>
        <v/>
      </c>
    </row>
    <row r="20" ht="20" customHeight="1">
      <c r="A20" s="18" t="inlineStr">
        <is>
          <t>Box.it</t>
        </is>
      </c>
      <c r="B20" s="26" t="inlineStr"/>
      <c r="C20" s="26" t="inlineStr"/>
      <c r="D20" s="27">
        <f>IF(AND(B20&lt;&gt;"",C20&lt;&gt;""),B20+C20,"")</f>
        <v/>
      </c>
      <c r="E20" s="28">
        <f>IF(D20&lt;&gt;"",D20*$B$5,"")</f>
        <v/>
      </c>
    </row>
    <row r="21" ht="20" customHeight="1">
      <c r="A21" s="22" t="inlineStr">
        <is>
          <t>Speedex</t>
        </is>
      </c>
      <c r="B21" s="23" t="inlineStr"/>
      <c r="C21" s="23" t="inlineStr"/>
      <c r="D21" s="24">
        <f>IF(AND(B21&lt;&gt;"",C21&lt;&gt;""),B21+C21,"")</f>
        <v/>
      </c>
      <c r="E21" s="25">
        <f>IF(D21&lt;&gt;"",D21*$B$5,"")</f>
        <v/>
      </c>
    </row>
    <row r="22" ht="20" customHeight="1">
      <c r="A22" s="18" t="inlineStr">
        <is>
          <t>TNT / FedEx</t>
        </is>
      </c>
      <c r="B22" s="26" t="inlineStr"/>
      <c r="C22" s="26" t="inlineStr"/>
      <c r="D22" s="27">
        <f>IF(AND(B22&lt;&gt;"",C22&lt;&gt;""),B22+C22,"")</f>
        <v/>
      </c>
      <c r="E22" s="28">
        <f>IF(D22&lt;&gt;"",D22*$B$5,"")</f>
        <v/>
      </c>
    </row>
    <row r="23" ht="6" customHeight="1"/>
    <row r="24" ht="22" customHeight="1">
      <c r="A24" s="29" t="inlineStr">
        <is>
          <t>הזולה ביותר (חודשי)</t>
        </is>
      </c>
      <c r="E24" s="30">
        <f>IFERROR(MIN(E9:E22),"")</f>
        <v/>
      </c>
    </row>
  </sheetData>
  <mergeCells count="5">
    <mergeCell ref="A4:E4"/>
    <mergeCell ref="A2:E2"/>
    <mergeCell ref="A7:E7"/>
    <mergeCell ref="A1:E1"/>
    <mergeCell ref="A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36" customWidth="1" min="3" max="3"/>
  </cols>
  <sheetData>
    <row r="1" ht="28" customHeight="1">
      <c r="A1" s="1" t="inlineStr">
        <is>
          <t>SPINZ — שאלות לשאול כל חברת שליחויות</t>
        </is>
      </c>
    </row>
    <row r="2" ht="16" customHeight="1">
      <c r="A2" s="2" t="inlineStr">
        <is>
          <t>העתק ושלח בפנייה לכל חברה — בקש מענה בכתב</t>
        </is>
      </c>
    </row>
    <row r="3" ht="6" customHeight="1"/>
    <row r="4" ht="36" customHeight="1">
      <c r="A4" s="21" t="inlineStr">
        <is>
          <t>נושא</t>
        </is>
      </c>
      <c r="B4" s="21" t="inlineStr">
        <is>
          <t>שאלה</t>
        </is>
      </c>
      <c r="C4" s="21" t="inlineStr">
        <is>
          <t>תשובה</t>
        </is>
      </c>
    </row>
    <row r="5" ht="22" customHeight="1">
      <c r="A5" s="31" t="inlineStr">
        <is>
          <t>עלויות</t>
        </is>
      </c>
      <c r="B5" s="32" t="inlineStr">
        <is>
          <t>מה המחיר לחבילה בגודל 130×18×74 ס"מ / 12 ק"ג?</t>
        </is>
      </c>
      <c r="C5" s="33" t="inlineStr"/>
    </row>
    <row r="6" ht="22" customHeight="1">
      <c r="A6" s="31" t="inlineStr">
        <is>
          <t>עלויות</t>
        </is>
      </c>
      <c r="B6" s="32" t="inlineStr">
        <is>
          <t>האם יש תוספת חריג על אורך מעל מטר? כמה?</t>
        </is>
      </c>
      <c r="C6" s="33" t="inlineStr"/>
    </row>
    <row r="7" ht="22" customHeight="1">
      <c r="A7" s="31" t="inlineStr">
        <is>
          <t>עלויות</t>
        </is>
      </c>
      <c r="B7" s="32" t="inlineStr">
        <is>
          <t>האם יש תוספת לפריפריה / יישובי קצה?</t>
        </is>
      </c>
      <c r="C7" s="33" t="inlineStr"/>
    </row>
    <row r="8" ht="22" customHeight="1">
      <c r="A8" s="31" t="inlineStr">
        <is>
          <t>עלויות</t>
        </is>
      </c>
      <c r="B8" s="32" t="inlineStr">
        <is>
          <t>האם המחיר כפוף להיטל דלק? מה האחוז הנוכחי?</t>
        </is>
      </c>
      <c r="C8" s="33" t="inlineStr"/>
    </row>
    <row r="9" ht="22" customHeight="1">
      <c r="A9" s="31" t="inlineStr">
        <is>
          <t>עלויות</t>
        </is>
      </c>
      <c r="B9" s="32" t="inlineStr">
        <is>
          <t>מה עלות ניסיון מסירה שני/שלישי כשהלקוח לא זמין?</t>
        </is>
      </c>
      <c r="C9" s="33" t="inlineStr"/>
    </row>
    <row r="10" ht="22" customHeight="1">
      <c r="A10" s="31" t="inlineStr">
        <is>
          <t>עלויות</t>
        </is>
      </c>
      <c r="B10" s="32" t="inlineStr">
        <is>
          <t>מה עלות לוגיסטיקה הפוכה (החזרה מלקוח)?</t>
        </is>
      </c>
      <c r="C10" s="33" t="inlineStr"/>
    </row>
    <row r="11" ht="22" customHeight="1">
      <c r="A11" s="34" t="inlineStr">
        <is>
          <t>שירות</t>
        </is>
      </c>
      <c r="B11" s="32" t="inlineStr">
        <is>
          <t>מה זמן האספקה ללקוח — מרכז הארץ?</t>
        </is>
      </c>
      <c r="C11" s="33" t="inlineStr"/>
    </row>
    <row r="12" ht="22" customHeight="1">
      <c r="A12" s="34" t="inlineStr">
        <is>
          <t>שירות</t>
        </is>
      </c>
      <c r="B12" s="32" t="inlineStr">
        <is>
          <t>מה זמן האספקה — פריפריה / ערים רחוקות?</t>
        </is>
      </c>
      <c r="C12" s="33" t="inlineStr"/>
    </row>
    <row r="13" ht="22" customHeight="1">
      <c r="A13" s="34" t="inlineStr">
        <is>
          <t>שירות</t>
        </is>
      </c>
      <c r="B13" s="32" t="inlineStr">
        <is>
          <t>מה תדירות האיסוף מהמחסן שלנו? (יומי / יומיים / שבועי)</t>
        </is>
      </c>
      <c r="C13" s="33" t="inlineStr"/>
    </row>
    <row r="14" ht="22" customHeight="1">
      <c r="A14" s="34" t="inlineStr">
        <is>
          <t>שירות</t>
        </is>
      </c>
      <c r="B14" s="32" t="inlineStr">
        <is>
          <t>מה שעת ה-cut-off היומית לאיסוף?</t>
        </is>
      </c>
      <c r="C14" s="33" t="inlineStr"/>
    </row>
    <row r="15" ht="22" customHeight="1">
      <c r="A15" s="34" t="inlineStr">
        <is>
          <t>שירות</t>
        </is>
      </c>
      <c r="B15" s="32" t="inlineStr">
        <is>
          <t>האם יש מינימום כמות חבילות לאיסוף?</t>
        </is>
      </c>
      <c r="C15" s="33" t="inlineStr"/>
    </row>
    <row r="16" ht="22" customHeight="1">
      <c r="A16" s="35" t="inlineStr">
        <is>
          <t>ביטוח</t>
        </is>
      </c>
      <c r="B16" s="32" t="inlineStr">
        <is>
          <t>מה גובה הביטוח הסטנדרטי? מה מכוסה?</t>
        </is>
      </c>
      <c r="C16" s="33" t="inlineStr"/>
    </row>
    <row r="17" ht="22" customHeight="1">
      <c r="A17" s="35" t="inlineStr">
        <is>
          <t>ביטוח</t>
        </is>
      </c>
      <c r="B17" s="32" t="inlineStr">
        <is>
          <t>מה גובה ההשתתפות העצמית במקרה נזק / אובדן?</t>
        </is>
      </c>
      <c r="C17" s="33" t="inlineStr"/>
    </row>
    <row r="18" ht="22" customHeight="1">
      <c r="A18" s="35" t="inlineStr">
        <is>
          <t>ביטוח</t>
        </is>
      </c>
      <c r="B18" s="32" t="inlineStr">
        <is>
          <t>האם יש דרישות אריזה ספציפיות למימוש הביטוח?</t>
        </is>
      </c>
      <c r="C18" s="33" t="inlineStr"/>
    </row>
    <row r="19" ht="22" customHeight="1">
      <c r="A19" s="36" t="inlineStr">
        <is>
          <t>תפעול</t>
        </is>
      </c>
      <c r="B19" s="32" t="inlineStr">
        <is>
          <t>האם יש API או פלאגין לחיבור לאתר?</t>
        </is>
      </c>
      <c r="C19" s="33" t="inlineStr"/>
    </row>
    <row r="20" ht="22" customHeight="1">
      <c r="A20" s="36" t="inlineStr">
        <is>
          <t>תפעול</t>
        </is>
      </c>
      <c r="B20" s="32" t="inlineStr">
        <is>
          <t>האם אתם מספקים מדפסת טרמית (Zebra וכד') וגלילים?</t>
        </is>
      </c>
      <c r="C20" s="33" t="inlineStr"/>
    </row>
    <row r="21" ht="22" customHeight="1">
      <c r="A21" s="36" t="inlineStr">
        <is>
          <t>תפעול</t>
        </is>
      </c>
      <c r="B21" s="32" t="inlineStr">
        <is>
          <t>כעסק חדש בהשקה — האם נוכל לקבל תקופת חסד של 6 חודשים ללא התניית מינימום איסוף יומי?</t>
        </is>
      </c>
      <c r="C21" s="33" t="inlineStr"/>
    </row>
    <row r="22" ht="22" customHeight="1">
      <c r="A22" s="36" t="inlineStr">
        <is>
          <t>תפעול</t>
        </is>
      </c>
      <c r="B22" s="32" t="inlineStr">
        <is>
          <t>במידה וביום מסוים יש רק חבילה אחת (או אפס) — האם המשאית מגיעה כרגיל, או שההזמנה נדחית ליום הבא? האם יש חיוב על הגעת סרק?</t>
        </is>
      </c>
      <c r="C22" s="33" t="inlineStr"/>
    </row>
    <row r="23" ht="22" customHeight="1">
      <c r="A23" s="36" t="inlineStr">
        <is>
          <t>תפעול</t>
        </is>
      </c>
      <c r="B23" s="32" t="inlineStr">
        <is>
          <t>איך מתבצע תיאום האיסוף היומי בפועל? (API אוטומטי / פורטל החברה / טלפון/וואטסאפ לסדרן)</t>
        </is>
      </c>
      <c r="C23" s="33" t="inlineStr"/>
    </row>
    <row r="24" ht="22" customHeight="1">
      <c r="A24" s="37" t="inlineStr">
        <is>
          <t>קשר</t>
        </is>
      </c>
      <c r="B24" s="32" t="inlineStr">
        <is>
          <t>האם יש מנהל תיק אישי עם טלפון ישיר (לא מוקד)?</t>
        </is>
      </c>
      <c r="C24" s="33" t="inlineStr"/>
    </row>
    <row r="25" ht="22" customHeight="1">
      <c r="A25" s="38" t="inlineStr">
        <is>
          <t>פיננסי</t>
        </is>
      </c>
      <c r="B25" s="32" t="inlineStr">
        <is>
          <t>מהם תנאי התשלום? (שוטף+30 / שוטף+60 / כרטיס אשראי מתגלגל)</t>
        </is>
      </c>
      <c r="C25" s="33" t="inlineStr"/>
    </row>
    <row r="26" ht="22" customHeight="1">
      <c r="A26" s="38" t="inlineStr">
        <is>
          <t>פיננסי</t>
        </is>
      </c>
      <c r="B26" s="32" t="inlineStr">
        <is>
          <t>במידה ומופעל ביטוח על נזק — תוך כמה זמן מבוצע הזיכוי בפועל?</t>
        </is>
      </c>
      <c r="C26" s="33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2026-04-27T12:37:44Z</dcterms:created>
  <dcterms:modified xsi:type="dcterms:W3CDTF">2026-06-12T12:44:19Z</dcterms:modified>
</cp:coreProperties>
</file>